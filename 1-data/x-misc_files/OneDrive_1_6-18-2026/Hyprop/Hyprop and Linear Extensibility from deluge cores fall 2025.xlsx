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kenton_rod_pnnl_gov1/Documents/Desktop/COMPASS/DELUGE/"/>
    </mc:Choice>
  </mc:AlternateContent>
  <xr:revisionPtr revIDLastSave="64" documentId="8_{8D21D42C-4F2A-4FAE-851F-F6EF1548FD3D}" xr6:coauthVersionLast="47" xr6:coauthVersionMax="47" xr10:uidLastSave="{ABDEFEE2-18CA-493B-B0E2-FF57F707791A}"/>
  <bookViews>
    <workbookView minimized="1" xWindow="32280" yWindow="1485" windowWidth="19185" windowHeight="10065" activeTab="1" xr2:uid="{338AC1EC-9E36-402D-A6AA-D91FA873F75F}"/>
  </bookViews>
  <sheets>
    <sheet name="Hyprop and Ksat" sheetId="1" r:id="rId1"/>
    <sheet name="Linear extensibility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AF13" i="1"/>
  <c r="A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" i="1"/>
  <c r="H2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2" i="2"/>
  <c r="AF3" i="1"/>
  <c r="AF4" i="1"/>
  <c r="AF5" i="1"/>
  <c r="AF6" i="1"/>
  <c r="AF7" i="1"/>
  <c r="AF8" i="1"/>
  <c r="AF9" i="1"/>
  <c r="AF10" i="1"/>
  <c r="AF11" i="1"/>
  <c r="AF12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2" i="1"/>
  <c r="AD29" i="1"/>
  <c r="AD37" i="1"/>
  <c r="AD36" i="1"/>
  <c r="AD35" i="1"/>
  <c r="AD34" i="1"/>
  <c r="AD33" i="1"/>
  <c r="AD32" i="1"/>
  <c r="AD31" i="1"/>
  <c r="AD30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W14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AE22" i="1" s="1"/>
  <c r="AH22" i="1" s="1"/>
  <c r="W21" i="1"/>
  <c r="W20" i="1"/>
  <c r="AE20" i="1" s="1"/>
  <c r="AH20" i="1" s="1"/>
  <c r="W19" i="1"/>
  <c r="W18" i="1"/>
  <c r="W17" i="1"/>
  <c r="W16" i="1"/>
  <c r="W15" i="1"/>
  <c r="W12" i="1"/>
  <c r="W11" i="1"/>
  <c r="W10" i="1"/>
  <c r="W9" i="1"/>
  <c r="W8" i="1"/>
  <c r="W7" i="1"/>
  <c r="W6" i="1"/>
  <c r="W5" i="1"/>
  <c r="W4" i="1"/>
  <c r="W3" i="1"/>
  <c r="W2" i="1"/>
  <c r="P3" i="1"/>
  <c r="AE3" i="1" s="1"/>
  <c r="P4" i="1"/>
  <c r="AE4" i="1" s="1"/>
  <c r="AH4" i="1" s="1"/>
  <c r="P5" i="1"/>
  <c r="P6" i="1"/>
  <c r="AE6" i="1" s="1"/>
  <c r="AH6" i="1" s="1"/>
  <c r="P7" i="1"/>
  <c r="AE7" i="1" s="1"/>
  <c r="AH7" i="1" s="1"/>
  <c r="P8" i="1"/>
  <c r="P9" i="1"/>
  <c r="AE9" i="1" s="1"/>
  <c r="AH9" i="1" s="1"/>
  <c r="P10" i="1"/>
  <c r="P11" i="1"/>
  <c r="AE11" i="1" s="1"/>
  <c r="AH11" i="1" s="1"/>
  <c r="P12" i="1"/>
  <c r="AE12" i="1" s="1"/>
  <c r="AH12" i="1" s="1"/>
  <c r="P13" i="1"/>
  <c r="AE13" i="1" s="1"/>
  <c r="AH13" i="1" s="1"/>
  <c r="P14" i="1"/>
  <c r="P15" i="1"/>
  <c r="AE15" i="1" s="1"/>
  <c r="AH15" i="1" s="1"/>
  <c r="P16" i="1"/>
  <c r="AE16" i="1" s="1"/>
  <c r="AH16" i="1" s="1"/>
  <c r="P17" i="1"/>
  <c r="AE17" i="1" s="1"/>
  <c r="AH17" i="1" s="1"/>
  <c r="P18" i="1"/>
  <c r="P19" i="1"/>
  <c r="AE19" i="1" s="1"/>
  <c r="AH19" i="1" s="1"/>
  <c r="P20" i="1"/>
  <c r="P21" i="1"/>
  <c r="P22" i="1"/>
  <c r="P23" i="1"/>
  <c r="AE23" i="1" s="1"/>
  <c r="AH23" i="1" s="1"/>
  <c r="P24" i="1"/>
  <c r="AE24" i="1" s="1"/>
  <c r="AH24" i="1" s="1"/>
  <c r="P25" i="1"/>
  <c r="P26" i="1"/>
  <c r="AE26" i="1" s="1"/>
  <c r="AH26" i="1" s="1"/>
  <c r="P27" i="1"/>
  <c r="AE27" i="1" s="1"/>
  <c r="AH27" i="1" s="1"/>
  <c r="P28" i="1"/>
  <c r="AE28" i="1" s="1"/>
  <c r="AH28" i="1" s="1"/>
  <c r="P29" i="1"/>
  <c r="AE29" i="1" s="1"/>
  <c r="AH29" i="1" s="1"/>
  <c r="P30" i="1"/>
  <c r="AE30" i="1" s="1"/>
  <c r="AH30" i="1" s="1"/>
  <c r="P31" i="1"/>
  <c r="AE31" i="1" s="1"/>
  <c r="AH31" i="1" s="1"/>
  <c r="P32" i="1"/>
  <c r="AE32" i="1" s="1"/>
  <c r="AH32" i="1" s="1"/>
  <c r="P33" i="1"/>
  <c r="AE33" i="1" s="1"/>
  <c r="AH33" i="1" s="1"/>
  <c r="P34" i="1"/>
  <c r="P35" i="1"/>
  <c r="AE35" i="1" s="1"/>
  <c r="AH35" i="1" s="1"/>
  <c r="P36" i="1"/>
  <c r="AE36" i="1" s="1"/>
  <c r="AH36" i="1" s="1"/>
  <c r="P37" i="1"/>
  <c r="P2" i="1"/>
  <c r="AE2" i="1" s="1"/>
  <c r="AH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2" i="2"/>
  <c r="M2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N2" i="2" l="1"/>
  <c r="P2" i="2" s="1"/>
  <c r="AI2" i="1"/>
  <c r="O2" i="2" s="1"/>
  <c r="N36" i="2"/>
  <c r="P36" i="2" s="1"/>
  <c r="AI36" i="1"/>
  <c r="O36" i="2" s="1"/>
  <c r="N35" i="2"/>
  <c r="P35" i="2" s="1"/>
  <c r="AI35" i="1"/>
  <c r="O35" i="2" s="1"/>
  <c r="N33" i="2"/>
  <c r="P33" i="2" s="1"/>
  <c r="AI33" i="1"/>
  <c r="O33" i="2" s="1"/>
  <c r="N32" i="2"/>
  <c r="P32" i="2" s="1"/>
  <c r="AI32" i="1"/>
  <c r="O32" i="2" s="1"/>
  <c r="N31" i="2"/>
  <c r="P31" i="2" s="1"/>
  <c r="AI31" i="1"/>
  <c r="O31" i="2" s="1"/>
  <c r="N30" i="2"/>
  <c r="P30" i="2" s="1"/>
  <c r="AI30" i="1"/>
  <c r="O30" i="2" s="1"/>
  <c r="N29" i="2"/>
  <c r="P29" i="2" s="1"/>
  <c r="AI29" i="1"/>
  <c r="O29" i="2" s="1"/>
  <c r="N28" i="2"/>
  <c r="P28" i="2" s="1"/>
  <c r="AI28" i="1"/>
  <c r="O28" i="2" s="1"/>
  <c r="N27" i="2"/>
  <c r="P27" i="2" s="1"/>
  <c r="AI27" i="1"/>
  <c r="O27" i="2" s="1"/>
  <c r="N26" i="2"/>
  <c r="P26" i="2" s="1"/>
  <c r="AI26" i="1"/>
  <c r="O26" i="2" s="1"/>
  <c r="N24" i="2"/>
  <c r="P24" i="2" s="1"/>
  <c r="AI24" i="1"/>
  <c r="O24" i="2" s="1"/>
  <c r="N23" i="2"/>
  <c r="P23" i="2" s="1"/>
  <c r="AI23" i="1"/>
  <c r="O23" i="2" s="1"/>
  <c r="N19" i="2"/>
  <c r="P19" i="2" s="1"/>
  <c r="AI19" i="1"/>
  <c r="O19" i="2" s="1"/>
  <c r="N17" i="2"/>
  <c r="P17" i="2" s="1"/>
  <c r="AI17" i="1"/>
  <c r="O17" i="2" s="1"/>
  <c r="N16" i="2"/>
  <c r="P16" i="2" s="1"/>
  <c r="AI16" i="1"/>
  <c r="O16" i="2" s="1"/>
  <c r="N15" i="2"/>
  <c r="P15" i="2" s="1"/>
  <c r="AI15" i="1"/>
  <c r="O15" i="2" s="1"/>
  <c r="N13" i="2"/>
  <c r="P13" i="2" s="1"/>
  <c r="AI13" i="1"/>
  <c r="O13" i="2" s="1"/>
  <c r="N12" i="2"/>
  <c r="P12" i="2" s="1"/>
  <c r="AI12" i="1"/>
  <c r="O12" i="2" s="1"/>
  <c r="N11" i="2"/>
  <c r="P11" i="2" s="1"/>
  <c r="AI11" i="1"/>
  <c r="O11" i="2" s="1"/>
  <c r="N9" i="2"/>
  <c r="P9" i="2" s="1"/>
  <c r="AI9" i="1"/>
  <c r="O9" i="2" s="1"/>
  <c r="N7" i="2"/>
  <c r="P7" i="2" s="1"/>
  <c r="AI7" i="1"/>
  <c r="O7" i="2" s="1"/>
  <c r="N6" i="2"/>
  <c r="P6" i="2" s="1"/>
  <c r="AI6" i="1"/>
  <c r="O6" i="2" s="1"/>
  <c r="N4" i="2"/>
  <c r="P4" i="2" s="1"/>
  <c r="AI4" i="1"/>
  <c r="O4" i="2" s="1"/>
  <c r="N3" i="2"/>
  <c r="P3" i="2" s="1"/>
  <c r="AI3" i="1"/>
  <c r="O3" i="2" s="1"/>
  <c r="AE5" i="1"/>
  <c r="AH5" i="1" s="1"/>
  <c r="AE8" i="1"/>
  <c r="N20" i="2"/>
  <c r="P20" i="2" s="1"/>
  <c r="AI20" i="1"/>
  <c r="O20" i="2" s="1"/>
  <c r="AE21" i="1"/>
  <c r="AH21" i="1" s="1"/>
  <c r="N22" i="2"/>
  <c r="P22" i="2" s="1"/>
  <c r="AI22" i="1"/>
  <c r="O22" i="2" s="1"/>
  <c r="AE37" i="1"/>
  <c r="AH37" i="1" s="1"/>
  <c r="AE14" i="1"/>
  <c r="AH14" i="1" s="1"/>
  <c r="AE10" i="1"/>
  <c r="AH10" i="1" s="1"/>
  <c r="AE18" i="1"/>
  <c r="AH18" i="1" s="1"/>
  <c r="AE25" i="1"/>
  <c r="AH25" i="1" s="1"/>
  <c r="AE34" i="1"/>
  <c r="AH34" i="1" s="1"/>
  <c r="AH8" i="1"/>
  <c r="AI8" i="1" l="1"/>
  <c r="O8" i="2" s="1"/>
  <c r="N8" i="2"/>
  <c r="P8" i="2" s="1"/>
  <c r="R8" i="2" s="1"/>
  <c r="N34" i="2"/>
  <c r="P34" i="2" s="1"/>
  <c r="AI34" i="1"/>
  <c r="O34" i="2" s="1"/>
  <c r="N25" i="2"/>
  <c r="P25" i="2" s="1"/>
  <c r="AI25" i="1"/>
  <c r="O25" i="2" s="1"/>
  <c r="N18" i="2"/>
  <c r="P18" i="2" s="1"/>
  <c r="AI18" i="1"/>
  <c r="O18" i="2" s="1"/>
  <c r="N10" i="2"/>
  <c r="P10" i="2" s="1"/>
  <c r="AI10" i="1"/>
  <c r="O10" i="2" s="1"/>
  <c r="N14" i="2"/>
  <c r="P14" i="2" s="1"/>
  <c r="AI14" i="1"/>
  <c r="O14" i="2" s="1"/>
  <c r="N37" i="2"/>
  <c r="P37" i="2" s="1"/>
  <c r="AI37" i="1"/>
  <c r="O37" i="2" s="1"/>
  <c r="R22" i="2"/>
  <c r="N21" i="2"/>
  <c r="P21" i="2" s="1"/>
  <c r="AI21" i="1"/>
  <c r="O21" i="2" s="1"/>
  <c r="R20" i="2"/>
  <c r="N5" i="2"/>
  <c r="P5" i="2" s="1"/>
  <c r="AI5" i="1"/>
  <c r="O5" i="2" s="1"/>
  <c r="R3" i="2"/>
  <c r="R4" i="2"/>
  <c r="R6" i="2"/>
  <c r="R7" i="2"/>
  <c r="R9" i="2"/>
  <c r="R11" i="2"/>
  <c r="R12" i="2"/>
  <c r="R13" i="2"/>
  <c r="R15" i="2"/>
  <c r="R16" i="2"/>
  <c r="R17" i="2"/>
  <c r="R19" i="2"/>
  <c r="R23" i="2"/>
  <c r="R24" i="2"/>
  <c r="R26" i="2"/>
  <c r="R27" i="2"/>
  <c r="R28" i="2"/>
  <c r="R29" i="2"/>
  <c r="R30" i="2"/>
  <c r="R31" i="2"/>
  <c r="R32" i="2"/>
  <c r="R33" i="2"/>
  <c r="R35" i="2"/>
  <c r="R36" i="2"/>
  <c r="R2" i="2"/>
  <c r="R5" i="2" l="1"/>
  <c r="R21" i="2"/>
  <c r="R37" i="2"/>
  <c r="R14" i="2"/>
  <c r="R10" i="2"/>
  <c r="R18" i="2"/>
  <c r="R25" i="2"/>
  <c r="R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tc={EC833ED0-F6B4-4856-B522-299756A69ABD}</author>
  </authors>
  <commentList>
    <comment ref="T13" authorId="0" shapeId="0" xr:uid="{EC833ED0-F6B4-4856-B522-299756A69AB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sharedStrings.xml><?xml version="1.0" encoding="utf-8"?>
<sst xmlns="http://schemas.openxmlformats.org/spreadsheetml/2006/main" count="129" uniqueCount="77">
  <si>
    <t>order</t>
  </si>
  <si>
    <t>Label ID</t>
  </si>
  <si>
    <t>Ring ID</t>
  </si>
  <si>
    <t>Ring weight (g)</t>
  </si>
  <si>
    <t>Saturated soil + ring (excess soil removed from top and bottom) weight  (g)</t>
  </si>
  <si>
    <t>Hyprop adaptor #</t>
  </si>
  <si>
    <t>Hyprop adaptor weight  (g)</t>
  </si>
  <si>
    <t>Ring + adaptor weight (g)</t>
  </si>
  <si>
    <t>starting wieght (g) of ring + adaptor + saturated soil</t>
  </si>
  <si>
    <t xml:space="preserve"> WP4C tray number </t>
  </si>
  <si>
    <t>Tray Tare wieght (g)</t>
  </si>
  <si>
    <t>Moist soil + tray (g)</t>
  </si>
  <si>
    <t>Dry soil +tray (g)</t>
  </si>
  <si>
    <t>WP4C pressure (Mpa)</t>
  </si>
  <si>
    <t>Temp (c)</t>
  </si>
  <si>
    <t>WP4C gravimetric water content (g/g)</t>
  </si>
  <si>
    <t>Ave gravimetric water content post hyprop run (g/g)</t>
  </si>
  <si>
    <t>total OD soil from wp4c (g)</t>
  </si>
  <si>
    <t>Post hyprop run moist soil out of ring (minus wp4c) weight (g)</t>
  </si>
  <si>
    <t>post hyprop soil dry corrected and wp4c soil added (g)</t>
  </si>
  <si>
    <t>bulk density (g/cm3)</t>
  </si>
  <si>
    <t>Notes:</t>
  </si>
  <si>
    <t>DLG_F4_BD_B-3</t>
  </si>
  <si>
    <t>DLG_R2_BD_B-1</t>
  </si>
  <si>
    <t>DLG_F1_BD_A-2</t>
  </si>
  <si>
    <t>top was hydrophobic</t>
  </si>
  <si>
    <t>DLG_F1_BD_A-3</t>
  </si>
  <si>
    <t>DLG_F3_BD_A-1</t>
  </si>
  <si>
    <t>DLG_F2_BD_A-2</t>
  </si>
  <si>
    <t>DLG_F3_BD_B-1</t>
  </si>
  <si>
    <t>DLG_F1_BD_B-2</t>
  </si>
  <si>
    <t>DLG_F3_BD_A-3</t>
  </si>
  <si>
    <t>DLG_F3_BD_B-2</t>
  </si>
  <si>
    <t>DLG_R1_BD_B-1</t>
  </si>
  <si>
    <t>DLG_F2_BD_A-3</t>
  </si>
  <si>
    <t>DLG_F2_BD_A1</t>
  </si>
  <si>
    <t>DLG_R1_BD_B-2</t>
  </si>
  <si>
    <t>DLG_R1_BD_A-3</t>
  </si>
  <si>
    <t>DLG_F4_BD_A-1</t>
  </si>
  <si>
    <t>DLG_F4_BD_B-1</t>
  </si>
  <si>
    <t>DLG_F2_BD_B-2</t>
  </si>
  <si>
    <t>DLG_F4_BD_B-2</t>
  </si>
  <si>
    <t>DLG_F2_BD_B-3</t>
  </si>
  <si>
    <t>DLG_F1_BD_B-1</t>
  </si>
  <si>
    <t>I put the wrong ring weight in the HYPROP software change it in  soil view analysis</t>
  </si>
  <si>
    <t>DLG_F1_BD_B-3</t>
  </si>
  <si>
    <t>DLG_R2_BD_A-3</t>
  </si>
  <si>
    <t>DLG_R2_BD_B-2</t>
  </si>
  <si>
    <t>DLG_F1_BD_A-1</t>
  </si>
  <si>
    <t>DLG_F2_BD_B-1</t>
  </si>
  <si>
    <t>DLG_F3_BD_A-2</t>
  </si>
  <si>
    <t>DLG_F4_BD_A-3</t>
  </si>
  <si>
    <t>DLG_R2_BD_A-2</t>
  </si>
  <si>
    <t>DLG_R1_BD_B-3</t>
  </si>
  <si>
    <t>DLG_R2_BD_B-3</t>
  </si>
  <si>
    <t>DLG_F4_BD_A-2</t>
  </si>
  <si>
    <t>DLG_R1_BD_A-2</t>
  </si>
  <si>
    <t>DLG_F3_BD_B-3</t>
  </si>
  <si>
    <t>DLG_R2_BD_A-1</t>
  </si>
  <si>
    <t>DLG_R1_BD_A-1</t>
  </si>
  <si>
    <t>Caliper MEASUREMENT 1 (cm)</t>
  </si>
  <si>
    <t>Caliper MEASUREMENT 2 (cm)</t>
  </si>
  <si>
    <t>Caliper MEASUREMENT 3 (cm)</t>
  </si>
  <si>
    <t>Caliper MEASUREMENT Ave (cm)</t>
  </si>
  <si>
    <t>Kopeky ring height (cm)</t>
  </si>
  <si>
    <t>Length wet - length dry (cm)</t>
  </si>
  <si>
    <t>Tin tare for excess soil top and bottom from kopekey rings post saturation(g)</t>
  </si>
  <si>
    <t>Excess Soil post saturation (top bottom) wet plus tin (g)</t>
  </si>
  <si>
    <t>Excess Soil post saturation(top bottom) oven dry plus tin (g)</t>
  </si>
  <si>
    <t>water in soil (g)</t>
  </si>
  <si>
    <t>dry mass soil (g)</t>
  </si>
  <si>
    <t>Dry mass from soil from 1st BD measurement (g)</t>
  </si>
  <si>
    <t>1st (wet) bulk density (g/cm3)</t>
  </si>
  <si>
    <t>2nd (dry) bulk density (g/cm3)</t>
  </si>
  <si>
    <t>COLE from length (cm/cm)</t>
  </si>
  <si>
    <t>COLE from density (cm/cm)</t>
  </si>
  <si>
    <t>COLE = Coefficent of Linear Extensibility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</si>
</sst>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/>
    <xf numFmtId="165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extensibility '!$Q$2:$Q$37</c:f>
              <c:numCache>
                <c:formatCode>0.00</c:formatCode>
                <c:ptCount val="36"/>
                <c:pt idx="0">
                  <c:v>0</c:v>
                </c:pt>
                <c:pt idx="1">
                  <c:v>9.4674556213017735E-2</c:v>
                </c:pt>
                <c:pt idx="2">
                  <c:v>9.4674556213017735E-2</c:v>
                </c:pt>
                <c:pt idx="3">
                  <c:v>9.7345132743362803E-2</c:v>
                </c:pt>
                <c:pt idx="4">
                  <c:v>4.9689440993788969E-2</c:v>
                </c:pt>
                <c:pt idx="5">
                  <c:v>8.383233532934134E-2</c:v>
                </c:pt>
                <c:pt idx="6">
                  <c:v>6.1349693251533846E-2</c:v>
                </c:pt>
                <c:pt idx="7">
                  <c:v>9.4674556213017735E-2</c:v>
                </c:pt>
                <c:pt idx="8">
                  <c:v>6.4220183486238633E-2</c:v>
                </c:pt>
                <c:pt idx="9">
                  <c:v>1.9230769230769332E-2</c:v>
                </c:pt>
                <c:pt idx="10">
                  <c:v>6.4220183486238633E-2</c:v>
                </c:pt>
                <c:pt idx="11">
                  <c:v>8.1081081081081113E-2</c:v>
                </c:pt>
                <c:pt idx="12">
                  <c:v>6.7073170731707252E-2</c:v>
                </c:pt>
                <c:pt idx="13">
                  <c:v>6.7073170731707252E-2</c:v>
                </c:pt>
                <c:pt idx="14">
                  <c:v>5.2631578947368404E-2</c:v>
                </c:pt>
                <c:pt idx="15">
                  <c:v>7.8313253012048389E-2</c:v>
                </c:pt>
                <c:pt idx="16">
                  <c:v>9.7087378640776361E-3</c:v>
                </c:pt>
                <c:pt idx="17">
                  <c:v>6.9908814589665885E-2</c:v>
                </c:pt>
                <c:pt idx="18">
                  <c:v>1.9230769230769332E-2</c:v>
                </c:pt>
                <c:pt idx="19">
                  <c:v>4.6728971962616987E-2</c:v>
                </c:pt>
                <c:pt idx="20">
                  <c:v>6.9908814589665733E-2</c:v>
                </c:pt>
                <c:pt idx="21">
                  <c:v>3.7735849056603807E-2</c:v>
                </c:pt>
                <c:pt idx="22">
                  <c:v>3.7735849056603807E-2</c:v>
                </c:pt>
                <c:pt idx="23">
                  <c:v>1.2903225806451568E-2</c:v>
                </c:pt>
                <c:pt idx="24">
                  <c:v>6.1349693251533846E-2</c:v>
                </c:pt>
                <c:pt idx="25">
                  <c:v>6.7073170731707252E-2</c:v>
                </c:pt>
                <c:pt idx="26">
                  <c:v>6.7073170731707252E-2</c:v>
                </c:pt>
                <c:pt idx="27">
                  <c:v>3.1645569620253222E-2</c:v>
                </c:pt>
                <c:pt idx="28">
                  <c:v>0.11046511627906984</c:v>
                </c:pt>
                <c:pt idx="29">
                  <c:v>0</c:v>
                </c:pt>
                <c:pt idx="30">
                  <c:v>5.5555555555555525E-2</c:v>
                </c:pt>
                <c:pt idx="31">
                  <c:v>1.9230769230769332E-2</c:v>
                </c:pt>
                <c:pt idx="32">
                  <c:v>7.2727272727272793E-2</c:v>
                </c:pt>
                <c:pt idx="33">
                  <c:v>6.1349693251533846E-2</c:v>
                </c:pt>
                <c:pt idx="34">
                  <c:v>8.383233532934134E-2</c:v>
                </c:pt>
                <c:pt idx="35">
                  <c:v>4.3750000000000011E-2</c:v>
                </c:pt>
              </c:numCache>
            </c:numRef>
          </c:xVal>
          <c:yVal>
            <c:numRef>
              <c:f>'Linear extensibility '!$R$2:$R$37</c:f>
              <c:numCache>
                <c:formatCode>0.00</c:formatCode>
                <c:ptCount val="36"/>
                <c:pt idx="0">
                  <c:v>0</c:v>
                </c:pt>
                <c:pt idx="1">
                  <c:v>5.0654553357184773E-2</c:v>
                </c:pt>
                <c:pt idx="2">
                  <c:v>0.12181828289867273</c:v>
                </c:pt>
                <c:pt idx="3">
                  <c:v>9.765206559981561E-2</c:v>
                </c:pt>
                <c:pt idx="4">
                  <c:v>6.9415971455785902E-2</c:v>
                </c:pt>
                <c:pt idx="5">
                  <c:v>8.4626578959631341E-2</c:v>
                </c:pt>
                <c:pt idx="6">
                  <c:v>2.9944463495655833E-2</c:v>
                </c:pt>
                <c:pt idx="7">
                  <c:v>3.8021726213625082E-2</c:v>
                </c:pt>
                <c:pt idx="8">
                  <c:v>3.35416777668891E-2</c:v>
                </c:pt>
                <c:pt idx="9">
                  <c:v>1.8244375120787148E-2</c:v>
                </c:pt>
                <c:pt idx="10">
                  <c:v>5.7162391986109062E-2</c:v>
                </c:pt>
                <c:pt idx="11">
                  <c:v>0.12042856092488845</c:v>
                </c:pt>
                <c:pt idx="12">
                  <c:v>5.1017203536459034E-2</c:v>
                </c:pt>
                <c:pt idx="13">
                  <c:v>2.6816384049755091E-2</c:v>
                </c:pt>
                <c:pt idx="14">
                  <c:v>1.687430483538703E-2</c:v>
                </c:pt>
                <c:pt idx="15">
                  <c:v>3.1264533048039625E-2</c:v>
                </c:pt>
                <c:pt idx="16">
                  <c:v>1.7730613841350131E-3</c:v>
                </c:pt>
                <c:pt idx="17">
                  <c:v>2.5318501299401885E-2</c:v>
                </c:pt>
                <c:pt idx="18">
                  <c:v>3.2132031275720913E-3</c:v>
                </c:pt>
                <c:pt idx="19">
                  <c:v>3.0097495888493031E-2</c:v>
                </c:pt>
                <c:pt idx="20">
                  <c:v>7.2992421649969753E-3</c:v>
                </c:pt>
                <c:pt idx="21">
                  <c:v>1.4696393092387686E-2</c:v>
                </c:pt>
                <c:pt idx="22">
                  <c:v>7.300352873085795E-3</c:v>
                </c:pt>
                <c:pt idx="23">
                  <c:v>2.1428160833624034E-3</c:v>
                </c:pt>
                <c:pt idx="24">
                  <c:v>1.1195805133093321E-2</c:v>
                </c:pt>
                <c:pt idx="25">
                  <c:v>2.6405093095166036E-2</c:v>
                </c:pt>
                <c:pt idx="26">
                  <c:v>3.1227245732021614E-2</c:v>
                </c:pt>
                <c:pt idx="27">
                  <c:v>2.5182924975527685E-2</c:v>
                </c:pt>
                <c:pt idx="28">
                  <c:v>4.6230230745140988E-2</c:v>
                </c:pt>
                <c:pt idx="29">
                  <c:v>0</c:v>
                </c:pt>
                <c:pt idx="30">
                  <c:v>1.0745566063811775E-2</c:v>
                </c:pt>
                <c:pt idx="31">
                  <c:v>1.1846201738969999E-2</c:v>
                </c:pt>
                <c:pt idx="32">
                  <c:v>2.1416218680590082E-2</c:v>
                </c:pt>
                <c:pt idx="33">
                  <c:v>9.1378627130139414E-3</c:v>
                </c:pt>
                <c:pt idx="34">
                  <c:v>2.6590608316465116E-2</c:v>
                </c:pt>
                <c:pt idx="35">
                  <c:v>6.2456347910901664E-3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D-428A-A60F-E4EA0C347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66855"/>
        <c:axId val="1173968903"/>
      </c:scatterChart>
      <c:valAx>
        <c:axId val="117396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COLE_Length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68903"/>
        <c:crosses val="autoZero"/>
        <c:crossBetween val="midCat"/>
      </c:valAx>
      <c:valAx>
        <c:axId val="117396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COLE_BD</a:t>
                </a:r>
              </a:p>
            </c:rich>
          </c:tx>
          <c:layout>
            <c:manualLayout>
              <c:xMode val="edge"/>
              <c:yMode val="edge"/>
              <c:x val="3.2638914320203993E-2"/>
              <c:y val="0.38914740974335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66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95250</xdr:colOff>
      <xdr:row>2</xdr:row>
      <xdr:rowOff>47625</xdr:rowOff>
    </xdr:from>
    <xdr:to>
      <xdr:col>26</xdr:col>
      <xdr:colOff>400050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4E8CC-C08D-7E08-70FC-B7927236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d, Kenton A" id="{08A7CC03-E2C1-48E6-8A49-23D58917EF43}" userId="S::kenton.rod@pnnl.gov::a0b7d1f1-9eb9-42c5-8052-f767dec9be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3" dT="2026-01-06T21:54:33.99" personId="{08A7CC03-E2C1-48E6-8A49-23D58917EF43}" id="{EC833ED0-F6B4-4856-B522-299756A69ABD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4D44-1470-47B7-B7FC-10A4B5C77B1C}">
  <dimension ref="A1:AL37"/>
  <sheetViews>
    <sheetView topLeftCell="R1" workbookViewId="0">
      <selection activeCell="AI2" sqref="AI2"/>
    </sheetView>
  </sheetViews>
  <sheetFormatPr defaultRowHeight="15"/>
  <cols>
    <col min="1" max="1" width="9.140625" style="4"/>
    <col min="2" max="2" width="14.5703125" style="4" bestFit="1" customWidth="1"/>
    <col min="3" max="35" width="9.140625" style="4"/>
    <col min="36" max="36" width="9.140625" style="14"/>
    <col min="37" max="38" width="9.140625" style="4"/>
  </cols>
  <sheetData>
    <row r="1" spans="1:38" s="5" customFormat="1" ht="15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12" t="s">
        <v>7</v>
      </c>
      <c r="I1" s="1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2" t="s">
        <v>15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12" t="s">
        <v>15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12" t="s">
        <v>15</v>
      </c>
      <c r="AE1" s="12" t="s">
        <v>16</v>
      </c>
      <c r="AF1" s="12" t="s">
        <v>17</v>
      </c>
      <c r="AG1" s="3" t="s">
        <v>18</v>
      </c>
      <c r="AH1" s="12" t="s">
        <v>19</v>
      </c>
      <c r="AI1" s="12" t="s">
        <v>20</v>
      </c>
      <c r="AJ1" s="13" t="s">
        <v>21</v>
      </c>
      <c r="AK1" s="2"/>
      <c r="AL1" s="2"/>
    </row>
    <row r="2" spans="1:38">
      <c r="A2" s="4">
        <v>1</v>
      </c>
      <c r="B2" s="4" t="s">
        <v>22</v>
      </c>
      <c r="C2" s="4">
        <v>1305</v>
      </c>
      <c r="D2" s="4">
        <v>93.3</v>
      </c>
      <c r="E2" s="4">
        <v>255.13</v>
      </c>
      <c r="F2" s="9">
        <v>1</v>
      </c>
      <c r="G2" s="9">
        <v>197.78</v>
      </c>
      <c r="H2" s="20">
        <f>D2+G2</f>
        <v>291.08</v>
      </c>
      <c r="I2" s="4">
        <f>E2+G2</f>
        <v>452.90999999999997</v>
      </c>
      <c r="J2" s="2">
        <v>14</v>
      </c>
      <c r="K2" s="4">
        <v>23.537099999999999</v>
      </c>
      <c r="L2" s="4">
        <v>26.587199999999999</v>
      </c>
      <c r="M2" s="4">
        <v>26.450600000000001</v>
      </c>
      <c r="N2" s="4">
        <v>-43.38</v>
      </c>
      <c r="O2" s="4">
        <v>24.9</v>
      </c>
      <c r="P2" s="4">
        <f>(L2-M2)/(M2-K2)</f>
        <v>4.6885189634459486E-2</v>
      </c>
      <c r="Q2" s="2">
        <v>16</v>
      </c>
      <c r="R2" s="4">
        <v>24.537099999999999</v>
      </c>
      <c r="S2" s="4">
        <v>28.658799999999999</v>
      </c>
      <c r="T2" s="4">
        <v>28.275600000000001</v>
      </c>
      <c r="U2" s="4">
        <v>-2.93</v>
      </c>
      <c r="V2" s="4">
        <v>24.9</v>
      </c>
      <c r="W2" s="4">
        <f>(S2-T2)/(T2-R2)</f>
        <v>0.10250100307609962</v>
      </c>
      <c r="X2" s="2">
        <v>17</v>
      </c>
      <c r="Y2" s="4">
        <v>23.492599999999999</v>
      </c>
      <c r="Z2" s="4">
        <v>26.7485</v>
      </c>
      <c r="AA2" s="4">
        <v>26.457599999999999</v>
      </c>
      <c r="AB2" s="4">
        <v>-4.7</v>
      </c>
      <c r="AC2" s="4">
        <v>24.9</v>
      </c>
      <c r="AD2" s="4">
        <f>(Z2-AA2)/(AA2-Y2)</f>
        <v>9.8111298482293635E-2</v>
      </c>
      <c r="AE2" s="4">
        <f>AVERAGE(P2,W2,AD2)</f>
        <v>8.2499163730950911E-2</v>
      </c>
      <c r="AF2" s="4">
        <f>M2-K2+T2-R2+AA2-Y2</f>
        <v>9.6170000000000009</v>
      </c>
      <c r="AG2" s="4">
        <v>114.76</v>
      </c>
      <c r="AH2" s="21">
        <f>((1-AE2)*AG2)+AF2</f>
        <v>114.90939597023609</v>
      </c>
      <c r="AI2" s="4">
        <f>AH2/99</f>
        <v>1.1607009693963242</v>
      </c>
    </row>
    <row r="3" spans="1:38">
      <c r="A3" s="4">
        <v>2</v>
      </c>
      <c r="B3" s="4" t="s">
        <v>23</v>
      </c>
      <c r="C3" s="4">
        <v>1481</v>
      </c>
      <c r="D3" s="4">
        <v>93.4</v>
      </c>
      <c r="E3" s="4">
        <v>254.56</v>
      </c>
      <c r="F3" s="9">
        <v>2</v>
      </c>
      <c r="G3" s="9">
        <v>196.3</v>
      </c>
      <c r="H3" s="20">
        <f>D3+G3</f>
        <v>289.70000000000005</v>
      </c>
      <c r="I3" s="4">
        <f t="shared" ref="I3:I37" si="0">E3+G3</f>
        <v>450.86</v>
      </c>
      <c r="J3" s="2">
        <v>3</v>
      </c>
      <c r="K3" s="6">
        <v>24.496099999999998</v>
      </c>
      <c r="L3" s="4">
        <v>27.825500000000002</v>
      </c>
      <c r="M3" s="4">
        <v>27.604700000000001</v>
      </c>
      <c r="N3" s="4">
        <v>-26.45</v>
      </c>
      <c r="O3" s="4">
        <v>24.9</v>
      </c>
      <c r="P3" s="4">
        <f t="shared" ref="P3:P37" si="1">(L3-M3)/(M3-K3)</f>
        <v>7.1028758926848221E-2</v>
      </c>
      <c r="Q3" s="2">
        <v>26</v>
      </c>
      <c r="R3" s="4">
        <v>24.713799999999999</v>
      </c>
      <c r="S3" s="4">
        <v>30.1736</v>
      </c>
      <c r="T3" s="4">
        <v>29.400700000000001</v>
      </c>
      <c r="U3" s="4">
        <v>-3.42</v>
      </c>
      <c r="V3" s="4">
        <v>24.9</v>
      </c>
      <c r="W3" s="4">
        <f t="shared" ref="W3:W37" si="2">(S3-T3)/(T3-R3)</f>
        <v>0.16490644135782706</v>
      </c>
      <c r="X3" s="2">
        <v>30</v>
      </c>
      <c r="Y3" s="4">
        <v>24.795000000000002</v>
      </c>
      <c r="Z3" s="4">
        <v>29.223500000000001</v>
      </c>
      <c r="AA3" s="4">
        <v>28.595600000000001</v>
      </c>
      <c r="AB3" s="4">
        <v>-3.28</v>
      </c>
      <c r="AC3" s="4">
        <v>24.9</v>
      </c>
      <c r="AD3" s="4">
        <f t="shared" ref="AD3:AD37" si="3">(Z3-AA3)/(AA3-Y3)</f>
        <v>0.16521075619639017</v>
      </c>
      <c r="AE3" s="4">
        <f t="shared" ref="AE3:AE37" si="4">AVERAGE(P3,W3,AD3)</f>
        <v>0.13371531882702181</v>
      </c>
      <c r="AF3" s="4">
        <f t="shared" ref="AF3:AF37" si="5">M3-K3+T3-R3+AA3-Y3</f>
        <v>11.596100000000007</v>
      </c>
      <c r="AG3" s="4">
        <v>117.29</v>
      </c>
      <c r="AH3" s="21">
        <f>((1-AE3)*AG3)+AF3</f>
        <v>113.20263025477863</v>
      </c>
      <c r="AI3" s="4">
        <f t="shared" ref="AI3:AI37" si="6">AH3/99</f>
        <v>1.1434609116644305</v>
      </c>
    </row>
    <row r="4" spans="1:38">
      <c r="A4" s="4">
        <v>3</v>
      </c>
      <c r="B4" s="4" t="s">
        <v>24</v>
      </c>
      <c r="C4" s="4">
        <v>1396</v>
      </c>
      <c r="D4" s="4">
        <v>93.8</v>
      </c>
      <c r="E4" s="4">
        <v>222.61</v>
      </c>
      <c r="F4" s="9">
        <v>3</v>
      </c>
      <c r="G4" s="9">
        <v>194.82</v>
      </c>
      <c r="H4" s="20">
        <f t="shared" ref="H4:H37" si="7">D4+G4</f>
        <v>288.62</v>
      </c>
      <c r="I4" s="4">
        <f t="shared" si="0"/>
        <v>417.43</v>
      </c>
      <c r="J4" s="2">
        <v>7</v>
      </c>
      <c r="K4" s="4">
        <v>24.707100000000001</v>
      </c>
      <c r="L4" s="4">
        <v>26.607700000000001</v>
      </c>
      <c r="M4" s="4">
        <v>26.404</v>
      </c>
      <c r="N4" s="4">
        <v>-31.89</v>
      </c>
      <c r="O4" s="4">
        <v>24.8</v>
      </c>
      <c r="P4" s="4">
        <f t="shared" si="1"/>
        <v>0.12004243031410301</v>
      </c>
      <c r="Q4" s="2">
        <v>8</v>
      </c>
      <c r="R4" s="4">
        <v>24.725300000000001</v>
      </c>
      <c r="S4" s="4">
        <v>28.293500000000002</v>
      </c>
      <c r="T4" s="4">
        <v>27.470099999999999</v>
      </c>
      <c r="U4" s="4">
        <v>-1.55</v>
      </c>
      <c r="V4" s="4">
        <v>24.9</v>
      </c>
      <c r="W4" s="4">
        <f t="shared" si="2"/>
        <v>0.29998542698921732</v>
      </c>
      <c r="X4" s="2">
        <v>9</v>
      </c>
      <c r="Y4" s="4">
        <v>24.537400000000002</v>
      </c>
      <c r="Z4" s="4">
        <v>29.1099</v>
      </c>
      <c r="AA4" s="4">
        <v>28.043700000000001</v>
      </c>
      <c r="AB4" s="4">
        <v>-0.97</v>
      </c>
      <c r="AC4" s="4">
        <v>24.8</v>
      </c>
      <c r="AD4" s="4">
        <f t="shared" si="3"/>
        <v>0.30408122522316933</v>
      </c>
      <c r="AE4" s="4">
        <f t="shared" si="4"/>
        <v>0.24136969417549656</v>
      </c>
      <c r="AF4" s="4">
        <f t="shared" si="5"/>
        <v>7.9479999999999968</v>
      </c>
      <c r="AG4" s="4">
        <v>85.53</v>
      </c>
      <c r="AH4" s="21">
        <f t="shared" ref="AH3:AH37" si="8">((1-AE4)*AG4)+AF4</f>
        <v>72.833650057169777</v>
      </c>
      <c r="AI4" s="4">
        <f t="shared" si="6"/>
        <v>0.73569343492090689</v>
      </c>
      <c r="AJ4" s="14" t="s">
        <v>25</v>
      </c>
    </row>
    <row r="5" spans="1:38">
      <c r="A5" s="4">
        <v>4</v>
      </c>
      <c r="B5" s="4" t="s">
        <v>26</v>
      </c>
      <c r="C5" s="4">
        <v>1299</v>
      </c>
      <c r="D5" s="4">
        <v>93.7</v>
      </c>
      <c r="E5" s="4">
        <v>229.29</v>
      </c>
      <c r="F5" s="9">
        <v>4</v>
      </c>
      <c r="G5" s="9">
        <v>195.66</v>
      </c>
      <c r="H5" s="20">
        <f t="shared" si="7"/>
        <v>289.36</v>
      </c>
      <c r="I5" s="4">
        <f t="shared" si="0"/>
        <v>424.95</v>
      </c>
      <c r="J5" s="2">
        <v>20</v>
      </c>
      <c r="K5" s="4">
        <v>22.6846</v>
      </c>
      <c r="L5" s="4">
        <v>24.145199999999999</v>
      </c>
      <c r="M5" s="4">
        <v>23.9739</v>
      </c>
      <c r="N5" s="4">
        <v>-29.73</v>
      </c>
      <c r="O5" s="4">
        <v>24.9</v>
      </c>
      <c r="P5" s="4">
        <f t="shared" si="1"/>
        <v>0.13286279376405691</v>
      </c>
      <c r="Q5" s="2">
        <v>21</v>
      </c>
      <c r="R5" s="4">
        <v>24.2227</v>
      </c>
      <c r="S5" s="4">
        <v>26.847100000000001</v>
      </c>
      <c r="T5" s="4">
        <v>26.244900000000001</v>
      </c>
      <c r="U5" s="4">
        <v>-1.82</v>
      </c>
      <c r="V5" s="4">
        <v>24.9</v>
      </c>
      <c r="W5" s="4">
        <f t="shared" si="2"/>
        <v>0.29779448125803548</v>
      </c>
      <c r="X5" s="2">
        <v>22</v>
      </c>
      <c r="Y5" s="4">
        <v>24.573499999999999</v>
      </c>
      <c r="Z5" s="4">
        <v>28.364799999999999</v>
      </c>
      <c r="AA5" s="4">
        <v>27.527100000000001</v>
      </c>
      <c r="AB5" s="4">
        <v>-1.22</v>
      </c>
      <c r="AC5" s="4">
        <v>24.8</v>
      </c>
      <c r="AD5" s="4">
        <f t="shared" si="3"/>
        <v>0.28361998916576303</v>
      </c>
      <c r="AE5" s="4">
        <f t="shared" si="4"/>
        <v>0.2380924213959518</v>
      </c>
      <c r="AF5" s="4">
        <f t="shared" si="5"/>
        <v>6.2651000000000039</v>
      </c>
      <c r="AG5" s="4">
        <v>90.28</v>
      </c>
      <c r="AH5" s="21">
        <f t="shared" si="8"/>
        <v>75.05011619637348</v>
      </c>
      <c r="AI5" s="4">
        <f t="shared" si="6"/>
        <v>0.75808198178155028</v>
      </c>
    </row>
    <row r="6" spans="1:38">
      <c r="A6" s="4">
        <v>5</v>
      </c>
      <c r="B6" s="4" t="s">
        <v>27</v>
      </c>
      <c r="C6" s="4">
        <v>596</v>
      </c>
      <c r="D6" s="4">
        <v>96.41</v>
      </c>
      <c r="E6" s="4">
        <v>229.78</v>
      </c>
      <c r="F6" s="9">
        <v>5</v>
      </c>
      <c r="G6" s="9">
        <v>193.86</v>
      </c>
      <c r="H6" s="20">
        <f t="shared" si="7"/>
        <v>290.27</v>
      </c>
      <c r="I6" s="4">
        <f t="shared" si="0"/>
        <v>423.64</v>
      </c>
      <c r="J6" s="2">
        <v>10</v>
      </c>
      <c r="K6" s="4">
        <v>24.602699999999999</v>
      </c>
      <c r="L6" s="4">
        <v>27.251999999999999</v>
      </c>
      <c r="M6" s="4">
        <v>26.982700000000001</v>
      </c>
      <c r="N6" s="4">
        <v>-18.37</v>
      </c>
      <c r="O6" s="4">
        <v>24.9</v>
      </c>
      <c r="P6" s="4">
        <f t="shared" si="1"/>
        <v>0.11315126050420057</v>
      </c>
      <c r="Q6" s="2">
        <v>11</v>
      </c>
      <c r="R6" s="4">
        <v>24.6877</v>
      </c>
      <c r="S6" s="4">
        <v>26.2727</v>
      </c>
      <c r="T6" s="4">
        <v>26.0517</v>
      </c>
      <c r="U6" s="4">
        <v>-5.43</v>
      </c>
      <c r="V6" s="4">
        <v>24.8</v>
      </c>
      <c r="W6" s="4">
        <f t="shared" si="2"/>
        <v>0.16202346041055715</v>
      </c>
      <c r="X6" s="2">
        <v>12</v>
      </c>
      <c r="Y6" s="4">
        <v>24.5672</v>
      </c>
      <c r="Z6" s="4">
        <v>26.511900000000001</v>
      </c>
      <c r="AA6" s="4">
        <v>26.254000000000001</v>
      </c>
      <c r="AB6" s="4">
        <v>-6.09</v>
      </c>
      <c r="AC6" s="4">
        <v>24.8</v>
      </c>
      <c r="AD6" s="4">
        <f t="shared" si="3"/>
        <v>0.15289305193265301</v>
      </c>
      <c r="AE6" s="4">
        <f t="shared" si="4"/>
        <v>0.14268925761580356</v>
      </c>
      <c r="AF6" s="4">
        <f t="shared" si="5"/>
        <v>5.430800000000005</v>
      </c>
      <c r="AG6" s="4">
        <v>88.64</v>
      </c>
      <c r="AH6" s="21">
        <f t="shared" si="8"/>
        <v>81.422824204935182</v>
      </c>
      <c r="AI6" s="4">
        <f t="shared" si="6"/>
        <v>0.82245276974682002</v>
      </c>
    </row>
    <row r="7" spans="1:38">
      <c r="A7" s="4">
        <v>6</v>
      </c>
      <c r="B7" s="4" t="s">
        <v>28</v>
      </c>
      <c r="C7" s="4">
        <v>1205</v>
      </c>
      <c r="D7" s="4">
        <v>94.2</v>
      </c>
      <c r="E7" s="4">
        <v>234.14</v>
      </c>
      <c r="F7" s="9">
        <v>6</v>
      </c>
      <c r="G7" s="9">
        <v>198.45</v>
      </c>
      <c r="H7" s="20">
        <f t="shared" si="7"/>
        <v>292.64999999999998</v>
      </c>
      <c r="I7" s="4">
        <f t="shared" si="0"/>
        <v>432.59</v>
      </c>
      <c r="J7" s="2">
        <v>24</v>
      </c>
      <c r="K7" s="4">
        <v>24.6296</v>
      </c>
      <c r="L7" s="4">
        <v>27.121700000000001</v>
      </c>
      <c r="M7" s="4">
        <v>26.699400000000001</v>
      </c>
      <c r="N7" s="4">
        <v>-7.14</v>
      </c>
      <c r="O7" s="4">
        <v>24.9</v>
      </c>
      <c r="P7" s="4">
        <f t="shared" si="1"/>
        <v>0.20402937481882294</v>
      </c>
      <c r="Q7" s="2">
        <v>28</v>
      </c>
      <c r="R7" s="4">
        <v>24.555900000000001</v>
      </c>
      <c r="S7" s="4">
        <v>27.346</v>
      </c>
      <c r="T7" s="4">
        <v>26.5885</v>
      </c>
      <c r="U7" s="4">
        <v>-0.46</v>
      </c>
      <c r="V7" s="4">
        <v>24.9</v>
      </c>
      <c r="W7" s="4">
        <f t="shared" si="2"/>
        <v>0.3726753911246683</v>
      </c>
      <c r="X7" s="2">
        <v>29</v>
      </c>
      <c r="Y7" s="4">
        <v>24.739000000000001</v>
      </c>
      <c r="Z7" s="4">
        <v>27.953600000000002</v>
      </c>
      <c r="AA7" s="4">
        <v>27.092700000000001</v>
      </c>
      <c r="AB7" s="4">
        <v>-0.27</v>
      </c>
      <c r="AC7" s="4">
        <v>24.9</v>
      </c>
      <c r="AD7" s="4">
        <f t="shared" si="3"/>
        <v>0.36576454093554867</v>
      </c>
      <c r="AE7" s="4">
        <f t="shared" si="4"/>
        <v>0.3141564356263466</v>
      </c>
      <c r="AF7" s="4">
        <f t="shared" si="5"/>
        <v>6.4560999999999993</v>
      </c>
      <c r="AG7" s="4">
        <v>95.33</v>
      </c>
      <c r="AH7" s="21">
        <f t="shared" si="8"/>
        <v>71.837566991740374</v>
      </c>
      <c r="AI7" s="4">
        <f t="shared" si="6"/>
        <v>0.72563198981555932</v>
      </c>
    </row>
    <row r="8" spans="1:38">
      <c r="A8" s="4">
        <v>7</v>
      </c>
      <c r="B8" s="4" t="s">
        <v>29</v>
      </c>
      <c r="C8" s="4">
        <v>1354</v>
      </c>
      <c r="D8" s="4">
        <v>95.5</v>
      </c>
      <c r="E8" s="4">
        <v>269.25</v>
      </c>
      <c r="F8" s="2">
        <v>5</v>
      </c>
      <c r="G8" s="9">
        <v>193.86</v>
      </c>
      <c r="H8" s="20">
        <f t="shared" si="7"/>
        <v>289.36</v>
      </c>
      <c r="I8" s="4">
        <f t="shared" si="0"/>
        <v>463.11</v>
      </c>
      <c r="J8" s="2">
        <v>24</v>
      </c>
      <c r="K8" s="4">
        <v>24.6279</v>
      </c>
      <c r="L8" s="4">
        <v>27.602399999999999</v>
      </c>
      <c r="M8" s="4">
        <v>27.279599999999999</v>
      </c>
      <c r="N8" s="4">
        <v>-5.64</v>
      </c>
      <c r="O8" s="4">
        <v>24.9</v>
      </c>
      <c r="P8" s="4">
        <f t="shared" si="1"/>
        <v>0.12173322774069506</v>
      </c>
      <c r="Q8" s="4">
        <v>26</v>
      </c>
      <c r="R8" s="4">
        <v>24.9</v>
      </c>
      <c r="S8" s="4">
        <v>28.595099999999999</v>
      </c>
      <c r="T8" s="4">
        <v>27.974299999999999</v>
      </c>
      <c r="U8" s="4">
        <v>-1.21</v>
      </c>
      <c r="V8" s="4">
        <v>24.9</v>
      </c>
      <c r="W8" s="4">
        <f t="shared" si="2"/>
        <v>0.20193214715544969</v>
      </c>
      <c r="X8" s="2">
        <v>28</v>
      </c>
      <c r="Y8" s="4">
        <v>24.555800000000001</v>
      </c>
      <c r="Z8" s="4">
        <v>28.302900000000001</v>
      </c>
      <c r="AA8" s="4">
        <v>27.685199999999998</v>
      </c>
      <c r="AB8" s="4">
        <v>-1.06</v>
      </c>
      <c r="AC8" s="4">
        <v>24.9</v>
      </c>
      <c r="AD8" s="4">
        <f t="shared" si="3"/>
        <v>0.1973860803987996</v>
      </c>
      <c r="AE8" s="4">
        <f>AVERAGE(P8,W8,AD8)</f>
        <v>0.17368381843164812</v>
      </c>
      <c r="AF8" s="4">
        <f t="shared" si="5"/>
        <v>8.8553999999999924</v>
      </c>
      <c r="AG8" s="4">
        <v>136.06</v>
      </c>
      <c r="AH8" s="21">
        <f>((1-AE8)*AG8)+AF8</f>
        <v>121.28397966418994</v>
      </c>
      <c r="AI8" s="4">
        <f t="shared" si="6"/>
        <v>1.2250907036786862</v>
      </c>
    </row>
    <row r="9" spans="1:38">
      <c r="A9" s="4">
        <v>8</v>
      </c>
      <c r="B9" s="4" t="s">
        <v>30</v>
      </c>
      <c r="C9" s="4">
        <v>1320</v>
      </c>
      <c r="D9" s="4">
        <v>94.9</v>
      </c>
      <c r="E9" s="4">
        <v>243.07</v>
      </c>
      <c r="F9" s="2">
        <v>4</v>
      </c>
      <c r="G9" s="9">
        <v>195.66</v>
      </c>
      <c r="H9" s="20">
        <f t="shared" si="7"/>
        <v>290.56</v>
      </c>
      <c r="I9" s="4">
        <f t="shared" si="0"/>
        <v>438.73</v>
      </c>
      <c r="J9" s="2">
        <v>29</v>
      </c>
      <c r="K9" s="4">
        <v>24.7392</v>
      </c>
      <c r="L9" s="4">
        <v>28.9908</v>
      </c>
      <c r="M9" s="4">
        <v>28.505199999999999</v>
      </c>
      <c r="N9" s="4">
        <v>-3.38</v>
      </c>
      <c r="O9" s="4">
        <v>24.9</v>
      </c>
      <c r="P9" s="4">
        <f t="shared" si="1"/>
        <v>0.12894317578332495</v>
      </c>
      <c r="Q9" s="2">
        <v>30</v>
      </c>
      <c r="R9" s="4">
        <v>24.7593</v>
      </c>
      <c r="S9" s="4">
        <v>30.1172</v>
      </c>
      <c r="T9" s="4">
        <v>29.141400000000001</v>
      </c>
      <c r="U9" s="4">
        <v>-3.38</v>
      </c>
      <c r="V9" s="4">
        <v>24.9</v>
      </c>
      <c r="W9" s="4">
        <f t="shared" si="2"/>
        <v>0.22267862440382449</v>
      </c>
      <c r="X9" s="2">
        <v>3</v>
      </c>
      <c r="Y9" s="4">
        <v>24.495799999999999</v>
      </c>
      <c r="Z9" s="4">
        <v>29.647099999999998</v>
      </c>
      <c r="AA9" s="4">
        <v>28.618099999999998</v>
      </c>
      <c r="AB9" s="4">
        <v>-2.15</v>
      </c>
      <c r="AC9" s="4">
        <v>24.9</v>
      </c>
      <c r="AD9" s="4">
        <f t="shared" si="3"/>
        <v>0.24961793173713706</v>
      </c>
      <c r="AE9" s="4">
        <f t="shared" si="4"/>
        <v>0.20041324397476215</v>
      </c>
      <c r="AF9" s="4">
        <f t="shared" si="5"/>
        <v>12.270399999999999</v>
      </c>
      <c r="AG9" s="4">
        <v>100.95</v>
      </c>
      <c r="AH9" s="21">
        <f t="shared" si="8"/>
        <v>92.988683020747757</v>
      </c>
      <c r="AI9" s="4">
        <f t="shared" si="6"/>
        <v>0.93927962647219954</v>
      </c>
    </row>
    <row r="10" spans="1:38">
      <c r="A10" s="4">
        <v>9</v>
      </c>
      <c r="B10" s="4" t="s">
        <v>31</v>
      </c>
      <c r="C10" s="4">
        <v>1266</v>
      </c>
      <c r="D10" s="4">
        <v>94.9</v>
      </c>
      <c r="E10" s="4">
        <v>235.67</v>
      </c>
      <c r="F10" s="2">
        <v>6</v>
      </c>
      <c r="G10" s="9">
        <v>198.45</v>
      </c>
      <c r="H10" s="20">
        <f t="shared" si="7"/>
        <v>293.35000000000002</v>
      </c>
      <c r="I10" s="4">
        <f t="shared" si="0"/>
        <v>434.12</v>
      </c>
      <c r="J10" s="2">
        <v>14</v>
      </c>
      <c r="K10" s="4">
        <v>23.536999999999999</v>
      </c>
      <c r="L10" s="4">
        <v>26.143599999999999</v>
      </c>
      <c r="M10" s="4">
        <v>25.718</v>
      </c>
      <c r="N10" s="4">
        <v>-5.76</v>
      </c>
      <c r="O10" s="4">
        <v>24.9</v>
      </c>
      <c r="P10" s="4">
        <f t="shared" si="1"/>
        <v>0.19513984410820684</v>
      </c>
      <c r="Q10" s="2">
        <v>16</v>
      </c>
      <c r="R10" s="4">
        <v>24.8749</v>
      </c>
      <c r="S10" s="4">
        <v>28.019600000000001</v>
      </c>
      <c r="T10" s="4">
        <v>27.209</v>
      </c>
      <c r="U10" s="4">
        <v>-1.0900000000000001</v>
      </c>
      <c r="V10" s="4">
        <v>24.8</v>
      </c>
      <c r="W10" s="4">
        <f t="shared" si="2"/>
        <v>0.34728589177841612</v>
      </c>
      <c r="X10" s="2">
        <v>17</v>
      </c>
      <c r="Y10" s="4">
        <v>23.493099999999998</v>
      </c>
      <c r="Z10" s="4">
        <v>26.172599999999999</v>
      </c>
      <c r="AA10" s="4">
        <v>25.478400000000001</v>
      </c>
      <c r="AB10" s="4">
        <v>-1</v>
      </c>
      <c r="AC10" s="4">
        <v>24.8</v>
      </c>
      <c r="AD10" s="4">
        <f t="shared" si="3"/>
        <v>0.34967007505162839</v>
      </c>
      <c r="AE10" s="4">
        <f t="shared" si="4"/>
        <v>0.29736527031275045</v>
      </c>
      <c r="AF10" s="4">
        <f t="shared" si="5"/>
        <v>6.5004000000000026</v>
      </c>
      <c r="AG10" s="4">
        <v>96.17</v>
      </c>
      <c r="AH10" s="21">
        <f t="shared" si="8"/>
        <v>74.072781954022787</v>
      </c>
      <c r="AI10" s="4">
        <f t="shared" si="6"/>
        <v>0.74820991872750287</v>
      </c>
    </row>
    <row r="11" spans="1:38">
      <c r="A11" s="4">
        <v>10</v>
      </c>
      <c r="B11" s="4" t="s">
        <v>32</v>
      </c>
      <c r="C11" s="4">
        <v>1482</v>
      </c>
      <c r="D11" s="4">
        <v>93.2</v>
      </c>
      <c r="E11" s="4">
        <v>260.02999999999997</v>
      </c>
      <c r="F11" s="2">
        <v>3</v>
      </c>
      <c r="G11" s="9">
        <v>194.82</v>
      </c>
      <c r="H11" s="20">
        <f t="shared" si="7"/>
        <v>288.02</v>
      </c>
      <c r="I11" s="4">
        <f t="shared" si="0"/>
        <v>454.84999999999997</v>
      </c>
      <c r="J11" s="4">
        <v>1</v>
      </c>
      <c r="K11" s="4">
        <v>24.374199999999998</v>
      </c>
      <c r="L11" s="4">
        <v>28.241900000000001</v>
      </c>
      <c r="M11" s="4">
        <v>27.8841</v>
      </c>
      <c r="N11" s="4">
        <v>-8.44</v>
      </c>
      <c r="O11" s="4">
        <v>25</v>
      </c>
      <c r="P11" s="4">
        <f t="shared" si="1"/>
        <v>0.10194022621727138</v>
      </c>
      <c r="Q11" s="4">
        <v>2</v>
      </c>
      <c r="R11" s="4">
        <v>24.425699999999999</v>
      </c>
      <c r="S11" s="4">
        <v>28.930900000000001</v>
      </c>
      <c r="T11" s="4">
        <v>28.4634</v>
      </c>
      <c r="U11" s="4">
        <v>-4.4800000000000004</v>
      </c>
      <c r="V11" s="4">
        <v>25</v>
      </c>
      <c r="W11" s="4">
        <f t="shared" si="2"/>
        <v>0.11578373826683533</v>
      </c>
      <c r="X11" s="4">
        <v>21</v>
      </c>
      <c r="Y11" s="4">
        <v>24.223099999999999</v>
      </c>
      <c r="Z11" s="4">
        <v>29.296399999999998</v>
      </c>
      <c r="AA11" s="4">
        <v>28.691600000000001</v>
      </c>
      <c r="AB11" s="4">
        <v>-2.88</v>
      </c>
      <c r="AC11" s="4">
        <v>24.9</v>
      </c>
      <c r="AD11" s="4">
        <f t="shared" si="3"/>
        <v>0.13534743202416852</v>
      </c>
      <c r="AE11" s="4">
        <f t="shared" si="4"/>
        <v>0.11769046550275841</v>
      </c>
      <c r="AF11" s="4">
        <f t="shared" si="5"/>
        <v>12.016100000000005</v>
      </c>
      <c r="AG11" s="4">
        <v>118.57</v>
      </c>
      <c r="AH11" s="21">
        <f t="shared" si="8"/>
        <v>116.63154150533794</v>
      </c>
      <c r="AI11" s="4">
        <f t="shared" si="6"/>
        <v>1.1780963788417973</v>
      </c>
    </row>
    <row r="12" spans="1:38">
      <c r="A12" s="4">
        <v>11</v>
      </c>
      <c r="B12" s="4" t="s">
        <v>33</v>
      </c>
      <c r="C12" s="4">
        <v>1188</v>
      </c>
      <c r="D12" s="4">
        <v>94.3</v>
      </c>
      <c r="E12" s="4">
        <v>259.85000000000002</v>
      </c>
      <c r="F12" s="2">
        <v>1</v>
      </c>
      <c r="G12" s="9">
        <v>197.78</v>
      </c>
      <c r="H12" s="20">
        <f t="shared" si="7"/>
        <v>292.08</v>
      </c>
      <c r="I12" s="4">
        <f t="shared" si="0"/>
        <v>457.63</v>
      </c>
      <c r="J12" s="4">
        <v>10</v>
      </c>
      <c r="K12" s="4">
        <v>24.602599999999999</v>
      </c>
      <c r="L12" s="4">
        <v>27.9404</v>
      </c>
      <c r="M12" s="4">
        <v>27.040299999999998</v>
      </c>
      <c r="N12" s="4">
        <v>-20.58</v>
      </c>
      <c r="O12" s="4">
        <v>24.8</v>
      </c>
      <c r="P12" s="4">
        <f t="shared" si="1"/>
        <v>0.36924149813348733</v>
      </c>
      <c r="Q12" s="4">
        <v>11</v>
      </c>
      <c r="R12" s="4">
        <v>24.6876</v>
      </c>
      <c r="S12" s="4">
        <v>27.6632</v>
      </c>
      <c r="T12" s="4">
        <v>27.3901</v>
      </c>
      <c r="U12" s="4">
        <v>-2.64</v>
      </c>
      <c r="V12" s="4">
        <v>24.9</v>
      </c>
      <c r="W12" s="4">
        <f t="shared" si="2"/>
        <v>0.10105457909343178</v>
      </c>
      <c r="X12" s="4">
        <v>12</v>
      </c>
      <c r="Y12" s="4">
        <v>24.567</v>
      </c>
      <c r="Z12" s="4">
        <v>27.6632</v>
      </c>
      <c r="AA12" s="4">
        <v>27.134899999999998</v>
      </c>
      <c r="AB12" s="4">
        <v>-2.64</v>
      </c>
      <c r="AC12" s="4">
        <v>24.9</v>
      </c>
      <c r="AD12" s="4">
        <f t="shared" si="3"/>
        <v>0.20573231044822693</v>
      </c>
      <c r="AE12" s="4">
        <f t="shared" si="4"/>
        <v>0.22534279589171535</v>
      </c>
      <c r="AF12" s="4">
        <f t="shared" si="5"/>
        <v>7.7080999999999946</v>
      </c>
      <c r="AG12" s="4">
        <v>117.26</v>
      </c>
      <c r="AH12" s="21">
        <f t="shared" si="8"/>
        <v>98.54440375373747</v>
      </c>
      <c r="AI12" s="4">
        <f t="shared" si="6"/>
        <v>0.99539801771451986</v>
      </c>
    </row>
    <row r="13" spans="1:38">
      <c r="A13" s="4">
        <v>12</v>
      </c>
      <c r="B13" s="4" t="s">
        <v>34</v>
      </c>
      <c r="C13" s="4">
        <v>1201</v>
      </c>
      <c r="D13" s="4">
        <v>93.5</v>
      </c>
      <c r="E13" s="4">
        <v>229.38</v>
      </c>
      <c r="F13" s="2">
        <v>2</v>
      </c>
      <c r="G13" s="9">
        <v>196.3</v>
      </c>
      <c r="H13" s="20">
        <f t="shared" si="7"/>
        <v>289.8</v>
      </c>
      <c r="I13" s="4">
        <f t="shared" si="0"/>
        <v>425.68</v>
      </c>
      <c r="J13" s="4">
        <v>20</v>
      </c>
      <c r="K13" s="4">
        <v>22.684999999999999</v>
      </c>
      <c r="L13" s="4">
        <v>23.661000000000001</v>
      </c>
      <c r="M13" s="4">
        <v>23.4741</v>
      </c>
      <c r="N13" s="4">
        <v>-7.21</v>
      </c>
      <c r="O13" s="4">
        <v>25</v>
      </c>
      <c r="P13" s="4">
        <f t="shared" si="1"/>
        <v>0.23685210999873413</v>
      </c>
      <c r="T13" s="16">
        <v>3</v>
      </c>
      <c r="X13" s="4">
        <v>22</v>
      </c>
      <c r="Y13" s="4">
        <v>24.223109999999998</v>
      </c>
      <c r="Z13" s="4">
        <v>27.068200000000001</v>
      </c>
      <c r="AA13" s="4">
        <v>26.444199999999999</v>
      </c>
      <c r="AB13" s="4">
        <v>-0.66</v>
      </c>
      <c r="AC13" s="4">
        <v>24.9</v>
      </c>
      <c r="AD13" s="4">
        <f t="shared" si="3"/>
        <v>0.28094314053010111</v>
      </c>
      <c r="AE13" s="4">
        <f t="shared" si="4"/>
        <v>0.25889762526441762</v>
      </c>
      <c r="AF13" s="4">
        <f>M13-K13+T13-R13+AA13-Y13</f>
        <v>6.0101900000000015</v>
      </c>
      <c r="AG13" s="4">
        <v>91.79</v>
      </c>
      <c r="AH13" s="21">
        <f t="shared" si="8"/>
        <v>74.0359769769791</v>
      </c>
      <c r="AI13" s="4">
        <f t="shared" si="6"/>
        <v>0.74783815128261721</v>
      </c>
    </row>
    <row r="14" spans="1:38">
      <c r="A14" s="4">
        <v>13</v>
      </c>
      <c r="B14" s="4" t="s">
        <v>35</v>
      </c>
      <c r="C14" s="4">
        <v>1174</v>
      </c>
      <c r="D14" s="4">
        <v>93.9</v>
      </c>
      <c r="E14" s="4">
        <v>229.8</v>
      </c>
      <c r="F14" s="2">
        <v>6</v>
      </c>
      <c r="G14" s="9">
        <v>198.45</v>
      </c>
      <c r="H14" s="20">
        <f t="shared" si="7"/>
        <v>292.35000000000002</v>
      </c>
      <c r="I14" s="4">
        <f t="shared" si="0"/>
        <v>428.25</v>
      </c>
      <c r="J14" s="4">
        <v>12</v>
      </c>
      <c r="K14" s="4">
        <v>24.567799999999998</v>
      </c>
      <c r="L14" s="4">
        <v>27.730499999999999</v>
      </c>
      <c r="M14" s="4">
        <v>27.0566</v>
      </c>
      <c r="N14" s="4">
        <v>-2.67</v>
      </c>
      <c r="O14" s="4">
        <v>24.9</v>
      </c>
      <c r="P14" s="4">
        <f t="shared" si="1"/>
        <v>0.27077306332368989</v>
      </c>
      <c r="Q14" s="4">
        <v>13</v>
      </c>
      <c r="R14" s="4">
        <v>23.497699999999998</v>
      </c>
      <c r="S14" s="4">
        <v>25.984999999999999</v>
      </c>
      <c r="T14" s="4">
        <v>25.478400000000001</v>
      </c>
      <c r="U14" s="4">
        <v>-4.67</v>
      </c>
      <c r="V14" s="4">
        <v>24.9</v>
      </c>
      <c r="W14" s="4">
        <f>(S14-T14)/(T14-R14)</f>
        <v>0.25576816277073672</v>
      </c>
      <c r="X14" s="4">
        <v>15</v>
      </c>
      <c r="Y14" s="4">
        <v>23.408000000000001</v>
      </c>
      <c r="Z14" s="4">
        <v>24.948699999999999</v>
      </c>
      <c r="AA14" s="4">
        <v>24.796099999999999</v>
      </c>
      <c r="AB14" s="4">
        <v>-36.21</v>
      </c>
      <c r="AC14" s="4">
        <v>25</v>
      </c>
      <c r="AD14" s="4">
        <f>(Z14-AA14)/(AA14-Y14)</f>
        <v>0.10993444276348956</v>
      </c>
      <c r="AE14" s="4">
        <f t="shared" si="4"/>
        <v>0.21215855628597205</v>
      </c>
      <c r="AF14" s="4">
        <f t="shared" si="5"/>
        <v>5.8576000000000015</v>
      </c>
      <c r="AG14" s="4">
        <v>82.13</v>
      </c>
      <c r="AH14" s="21">
        <f t="shared" si="8"/>
        <v>70.563017772233124</v>
      </c>
      <c r="AI14" s="4">
        <f t="shared" si="6"/>
        <v>0.71275775527508201</v>
      </c>
    </row>
    <row r="15" spans="1:38">
      <c r="A15" s="4">
        <v>14</v>
      </c>
      <c r="B15" s="4" t="s">
        <v>36</v>
      </c>
      <c r="C15" s="4">
        <v>1347</v>
      </c>
      <c r="D15" s="4">
        <v>95.3</v>
      </c>
      <c r="E15" s="4">
        <v>272.98</v>
      </c>
      <c r="F15" s="4">
        <v>1</v>
      </c>
      <c r="G15" s="9">
        <v>197.78</v>
      </c>
      <c r="H15" s="20">
        <f t="shared" si="7"/>
        <v>293.08</v>
      </c>
      <c r="I15" s="4">
        <f t="shared" si="0"/>
        <v>470.76</v>
      </c>
      <c r="J15" s="4">
        <v>7</v>
      </c>
      <c r="K15" s="4">
        <v>24.707000000000001</v>
      </c>
      <c r="L15" s="4">
        <v>28.0548</v>
      </c>
      <c r="M15" s="4">
        <v>27.756799999999998</v>
      </c>
      <c r="N15" s="4">
        <v>-18.760000000000002</v>
      </c>
      <c r="O15" s="4">
        <v>24.9</v>
      </c>
      <c r="P15" s="4">
        <f t="shared" si="1"/>
        <v>9.7711325332809379E-2</v>
      </c>
      <c r="Q15" s="4">
        <v>8</v>
      </c>
      <c r="R15" s="4">
        <v>24.725100000000001</v>
      </c>
      <c r="S15" s="4">
        <v>28.476199999999999</v>
      </c>
      <c r="T15" s="4">
        <v>27.9481</v>
      </c>
      <c r="U15" s="4">
        <v>-5.6</v>
      </c>
      <c r="V15" s="4">
        <v>24.9</v>
      </c>
      <c r="W15" s="4">
        <f t="shared" si="2"/>
        <v>0.16385355259075354</v>
      </c>
      <c r="X15" s="4">
        <v>9</v>
      </c>
      <c r="Y15" s="4">
        <v>24.537600000000001</v>
      </c>
      <c r="Z15" s="4">
        <v>28.536899999999999</v>
      </c>
      <c r="AA15" s="4">
        <v>27.757300000000001</v>
      </c>
      <c r="AB15" s="4">
        <v>-5.0999999999999996</v>
      </c>
      <c r="AC15" s="4">
        <v>24.9</v>
      </c>
      <c r="AD15" s="4">
        <f t="shared" si="3"/>
        <v>0.24213436034413102</v>
      </c>
      <c r="AE15" s="4">
        <f t="shared" si="4"/>
        <v>0.16789974608923131</v>
      </c>
      <c r="AF15" s="4">
        <f t="shared" si="5"/>
        <v>9.4924999999999962</v>
      </c>
      <c r="AG15" s="4">
        <v>125.23</v>
      </c>
      <c r="AH15" s="21">
        <f t="shared" si="8"/>
        <v>113.69641479724557</v>
      </c>
      <c r="AI15" s="4">
        <f t="shared" si="6"/>
        <v>1.1484486343156117</v>
      </c>
    </row>
    <row r="16" spans="1:38">
      <c r="A16" s="4">
        <v>15</v>
      </c>
      <c r="B16" s="4" t="s">
        <v>37</v>
      </c>
      <c r="C16" s="4">
        <v>1316</v>
      </c>
      <c r="D16" s="4">
        <v>95.5</v>
      </c>
      <c r="E16" s="4">
        <v>235.81</v>
      </c>
      <c r="F16" s="4">
        <v>4</v>
      </c>
      <c r="G16" s="9">
        <v>195.66</v>
      </c>
      <c r="H16" s="20">
        <f t="shared" si="7"/>
        <v>291.15999999999997</v>
      </c>
      <c r="I16" s="4">
        <f t="shared" si="0"/>
        <v>431.47</v>
      </c>
      <c r="J16" s="4">
        <v>26</v>
      </c>
      <c r="K16" s="4">
        <v>24.714300000000001</v>
      </c>
      <c r="L16" s="4">
        <v>27.802900000000001</v>
      </c>
      <c r="M16" s="4">
        <v>27.192799999999998</v>
      </c>
      <c r="N16" s="4">
        <v>-4.3</v>
      </c>
      <c r="O16" s="4">
        <v>24.9</v>
      </c>
      <c r="P16" s="4">
        <f t="shared" si="1"/>
        <v>0.24615694976800626</v>
      </c>
      <c r="Q16" s="4">
        <v>28</v>
      </c>
      <c r="R16" s="4">
        <v>24.5563</v>
      </c>
      <c r="S16" s="4">
        <v>26.724900000000002</v>
      </c>
      <c r="T16" s="4">
        <v>26.346</v>
      </c>
      <c r="U16" s="4">
        <v>-6.48</v>
      </c>
      <c r="V16" s="4">
        <v>24.9</v>
      </c>
      <c r="W16" s="4">
        <f t="shared" si="2"/>
        <v>0.21171146002123351</v>
      </c>
      <c r="X16" s="4">
        <v>30</v>
      </c>
      <c r="Y16" s="4">
        <v>24.759899999999998</v>
      </c>
      <c r="Z16" s="4">
        <v>26.421900000000001</v>
      </c>
      <c r="AA16" s="4">
        <v>26.2925</v>
      </c>
      <c r="AB16" s="4">
        <v>-68.38</v>
      </c>
      <c r="AC16" s="4">
        <v>24.9</v>
      </c>
      <c r="AD16" s="4">
        <f t="shared" si="3"/>
        <v>8.4431684718778696E-2</v>
      </c>
      <c r="AE16" s="4">
        <f t="shared" si="4"/>
        <v>0.18076669816933946</v>
      </c>
      <c r="AF16" s="4">
        <f t="shared" si="5"/>
        <v>5.8007999999999988</v>
      </c>
      <c r="AG16" s="4">
        <v>85.9</v>
      </c>
      <c r="AH16" s="21">
        <f t="shared" si="8"/>
        <v>76.172940627253737</v>
      </c>
      <c r="AI16" s="4">
        <f t="shared" si="6"/>
        <v>0.76942364269953267</v>
      </c>
    </row>
    <row r="17" spans="1:36">
      <c r="A17" s="4">
        <v>16</v>
      </c>
      <c r="B17" s="4" t="s">
        <v>38</v>
      </c>
      <c r="C17" s="4">
        <v>1483</v>
      </c>
      <c r="D17" s="4">
        <v>93.3</v>
      </c>
      <c r="E17" s="4">
        <v>228.1</v>
      </c>
      <c r="F17" s="4">
        <v>2</v>
      </c>
      <c r="G17" s="9">
        <v>196.3</v>
      </c>
      <c r="H17" s="20">
        <f t="shared" si="7"/>
        <v>289.60000000000002</v>
      </c>
      <c r="I17" s="4">
        <f t="shared" si="0"/>
        <v>424.4</v>
      </c>
      <c r="J17" s="4">
        <v>17</v>
      </c>
      <c r="K17" s="4">
        <v>23.492899999999999</v>
      </c>
      <c r="L17" s="4">
        <v>25.4605</v>
      </c>
      <c r="M17" s="4">
        <v>25.098099999999999</v>
      </c>
      <c r="N17" s="4">
        <v>-1.1399999999999999</v>
      </c>
      <c r="O17" s="4">
        <v>24.9</v>
      </c>
      <c r="P17" s="4">
        <f t="shared" si="1"/>
        <v>0.22576625965611821</v>
      </c>
      <c r="Q17" s="4">
        <v>20</v>
      </c>
      <c r="R17" s="4">
        <v>22.685099999999998</v>
      </c>
      <c r="S17" s="4">
        <v>25.908200000000001</v>
      </c>
      <c r="T17" s="4">
        <v>25.343499999999999</v>
      </c>
      <c r="U17" s="4">
        <v>-1.28</v>
      </c>
      <c r="V17" s="4">
        <v>24.9</v>
      </c>
      <c r="W17" s="4">
        <f t="shared" si="2"/>
        <v>0.21242100511585987</v>
      </c>
      <c r="X17" s="4">
        <v>22</v>
      </c>
      <c r="Y17" s="4">
        <v>24.573799999999999</v>
      </c>
      <c r="Z17" s="4">
        <v>26.380700000000001</v>
      </c>
      <c r="AA17" s="4">
        <v>26.300699999999999</v>
      </c>
      <c r="AB17" s="4">
        <v>-57.31</v>
      </c>
      <c r="AC17" s="4">
        <v>24.9</v>
      </c>
      <c r="AD17" s="4">
        <f t="shared" si="3"/>
        <v>4.6325786090683781E-2</v>
      </c>
      <c r="AE17" s="4">
        <f t="shared" si="4"/>
        <v>0.16150435028755397</v>
      </c>
      <c r="AF17" s="4">
        <f t="shared" si="5"/>
        <v>5.9905000000000008</v>
      </c>
      <c r="AG17" s="4">
        <v>85.95</v>
      </c>
      <c r="AH17" s="21">
        <f t="shared" si="8"/>
        <v>78.059201092784733</v>
      </c>
      <c r="AI17" s="4">
        <f t="shared" si="6"/>
        <v>0.78847677871499733</v>
      </c>
    </row>
    <row r="18" spans="1:36">
      <c r="A18" s="4">
        <v>17</v>
      </c>
      <c r="B18" s="4" t="s">
        <v>39</v>
      </c>
      <c r="C18" s="11">
        <v>6.0700000000000001E-4</v>
      </c>
      <c r="D18" s="4">
        <v>96.96</v>
      </c>
      <c r="E18" s="4">
        <v>263.43</v>
      </c>
      <c r="F18" s="4">
        <v>5</v>
      </c>
      <c r="G18" s="9">
        <v>193.86</v>
      </c>
      <c r="H18" s="20">
        <f t="shared" si="7"/>
        <v>290.82</v>
      </c>
      <c r="I18" s="4">
        <f t="shared" si="0"/>
        <v>457.29</v>
      </c>
      <c r="J18" s="4">
        <v>23</v>
      </c>
      <c r="K18" s="4">
        <v>25.016999999999999</v>
      </c>
      <c r="L18" s="4">
        <v>27.699200000000001</v>
      </c>
      <c r="M18" s="4">
        <v>27.5063</v>
      </c>
      <c r="N18" s="4">
        <v>-9.3699999999999992</v>
      </c>
      <c r="O18" s="4">
        <v>24.9</v>
      </c>
      <c r="P18" s="4">
        <f t="shared" si="1"/>
        <v>7.7491664323304385E-2</v>
      </c>
      <c r="Q18" s="4">
        <v>24</v>
      </c>
      <c r="R18" s="4">
        <v>24.6281</v>
      </c>
      <c r="S18" s="4">
        <v>28.543700000000001</v>
      </c>
      <c r="T18" s="4">
        <v>28.262799999999999</v>
      </c>
      <c r="U18" s="4">
        <v>-9.59</v>
      </c>
      <c r="V18" s="4">
        <v>24.9</v>
      </c>
      <c r="W18" s="4">
        <f t="shared" si="2"/>
        <v>7.7282856907035707E-2</v>
      </c>
      <c r="X18" s="4">
        <v>25</v>
      </c>
      <c r="Y18" s="4">
        <v>25.024100000000001</v>
      </c>
      <c r="Z18" s="4">
        <v>28.383500000000002</v>
      </c>
      <c r="AA18" s="4">
        <v>28.260400000000001</v>
      </c>
      <c r="AB18" s="4">
        <v>-46.53</v>
      </c>
      <c r="AC18" s="4">
        <v>24.9</v>
      </c>
      <c r="AD18" s="4">
        <f t="shared" si="3"/>
        <v>3.8037264777678485E-2</v>
      </c>
      <c r="AE18" s="4">
        <f t="shared" si="4"/>
        <v>6.4270595336006195E-2</v>
      </c>
      <c r="AF18" s="4">
        <f t="shared" si="5"/>
        <v>9.3602999999999987</v>
      </c>
      <c r="AG18" s="4">
        <v>117.03</v>
      </c>
      <c r="AH18" s="21">
        <f t="shared" si="8"/>
        <v>118.86871222782719</v>
      </c>
      <c r="AI18" s="4">
        <f t="shared" si="6"/>
        <v>1.2006940629073453</v>
      </c>
    </row>
    <row r="19" spans="1:36">
      <c r="A19" s="4">
        <v>18</v>
      </c>
      <c r="B19" s="4" t="s">
        <v>40</v>
      </c>
      <c r="C19" s="4">
        <v>1286</v>
      </c>
      <c r="D19" s="4">
        <v>94.5</v>
      </c>
      <c r="E19" s="4">
        <v>273.64</v>
      </c>
      <c r="F19" s="4">
        <v>3</v>
      </c>
      <c r="G19" s="9">
        <v>194.82</v>
      </c>
      <c r="H19" s="20">
        <f t="shared" si="7"/>
        <v>289.32</v>
      </c>
      <c r="I19" s="4">
        <f t="shared" si="0"/>
        <v>468.46</v>
      </c>
      <c r="J19" s="4">
        <v>3</v>
      </c>
      <c r="K19" s="4">
        <v>24.496300000000002</v>
      </c>
      <c r="L19" s="4">
        <v>28.688099999999999</v>
      </c>
      <c r="M19" s="4">
        <v>27.995699999999999</v>
      </c>
      <c r="N19" s="4">
        <v>-2.39</v>
      </c>
      <c r="O19" s="4">
        <v>24.9</v>
      </c>
      <c r="P19" s="4">
        <f t="shared" si="1"/>
        <v>0.19786249071269352</v>
      </c>
      <c r="Q19" s="4">
        <v>10</v>
      </c>
      <c r="R19" s="4">
        <v>24.602900000000002</v>
      </c>
      <c r="S19" s="4">
        <v>30.0899</v>
      </c>
      <c r="T19" s="4">
        <v>29.243400000000001</v>
      </c>
      <c r="U19" s="4">
        <v>-4.04</v>
      </c>
      <c r="V19" s="4">
        <v>24.9</v>
      </c>
      <c r="W19" s="4">
        <f t="shared" si="2"/>
        <v>0.18241568796465876</v>
      </c>
      <c r="X19" s="4">
        <v>11</v>
      </c>
      <c r="Y19" s="16">
        <v>24.567799999999998</v>
      </c>
      <c r="Z19" s="16">
        <v>27.730499999999999</v>
      </c>
      <c r="AA19" s="16">
        <v>27.964200000000002</v>
      </c>
      <c r="AB19" s="16">
        <v>-2.67</v>
      </c>
      <c r="AC19" s="16">
        <v>24.9</v>
      </c>
      <c r="AD19" s="15">
        <f t="shared" si="3"/>
        <v>-6.880814980567726E-2</v>
      </c>
      <c r="AE19" s="4">
        <f>AVERAGE(P19,W19)</f>
        <v>0.19013908933867613</v>
      </c>
      <c r="AF19" s="4">
        <f t="shared" si="5"/>
        <v>11.536300000000004</v>
      </c>
      <c r="AG19" s="4">
        <v>135.38999999999999</v>
      </c>
      <c r="AH19" s="21">
        <f t="shared" si="8"/>
        <v>121.18336869443664</v>
      </c>
      <c r="AI19" s="4">
        <f t="shared" si="6"/>
        <v>1.2240744312569358</v>
      </c>
    </row>
    <row r="20" spans="1:36">
      <c r="A20" s="4">
        <v>19</v>
      </c>
      <c r="B20" s="4" t="s">
        <v>41</v>
      </c>
      <c r="C20" s="4">
        <v>1494</v>
      </c>
      <c r="D20" s="4">
        <v>94.2</v>
      </c>
      <c r="E20" s="4">
        <v>265.92</v>
      </c>
      <c r="F20" s="4">
        <v>1</v>
      </c>
      <c r="G20" s="9">
        <v>197.78</v>
      </c>
      <c r="H20" s="20">
        <f t="shared" si="7"/>
        <v>291.98</v>
      </c>
      <c r="I20" s="4">
        <f t="shared" si="0"/>
        <v>463.70000000000005</v>
      </c>
      <c r="J20" s="4">
        <v>17</v>
      </c>
      <c r="K20" s="16">
        <v>23.493300000000001</v>
      </c>
      <c r="L20" s="16">
        <v>25.2486</v>
      </c>
      <c r="M20" s="16">
        <v>25.692</v>
      </c>
      <c r="N20" s="16">
        <v>-3.65</v>
      </c>
      <c r="O20" s="16">
        <v>24.9</v>
      </c>
      <c r="P20" s="15">
        <f t="shared" si="1"/>
        <v>-0.20166462000272919</v>
      </c>
      <c r="Q20" s="4">
        <v>25</v>
      </c>
      <c r="R20" s="4">
        <v>25.023900000000001</v>
      </c>
      <c r="S20" s="4">
        <v>27.479299999999999</v>
      </c>
      <c r="T20" s="4">
        <v>27.297000000000001</v>
      </c>
      <c r="U20" s="4">
        <v>-4.68</v>
      </c>
      <c r="V20" s="4">
        <v>24.9</v>
      </c>
      <c r="W20" s="4">
        <f t="shared" si="2"/>
        <v>8.01988473890273E-2</v>
      </c>
      <c r="X20" s="4">
        <v>10</v>
      </c>
      <c r="Y20" s="4">
        <v>24.604500000000002</v>
      </c>
      <c r="Z20" s="4">
        <v>27.373000000000001</v>
      </c>
      <c r="AA20" s="4">
        <v>27.2836</v>
      </c>
      <c r="AB20" s="4">
        <v>-60.02</v>
      </c>
      <c r="AC20" s="4">
        <v>24.9</v>
      </c>
      <c r="AD20" s="4">
        <f t="shared" si="3"/>
        <v>3.3369415102087012E-2</v>
      </c>
      <c r="AE20" s="4">
        <f>AVERAGE(W20,AD20)</f>
        <v>5.678413124555716E-2</v>
      </c>
      <c r="AF20" s="4">
        <f t="shared" si="5"/>
        <v>7.1508999999999965</v>
      </c>
      <c r="AG20" s="4">
        <v>115.39</v>
      </c>
      <c r="AH20" s="21">
        <f t="shared" si="8"/>
        <v>115.98857909557515</v>
      </c>
      <c r="AI20" s="4">
        <f t="shared" si="6"/>
        <v>1.1716018090462137</v>
      </c>
    </row>
    <row r="21" spans="1:36">
      <c r="A21" s="4">
        <v>20</v>
      </c>
      <c r="B21" s="4" t="s">
        <v>42</v>
      </c>
      <c r="C21" s="4">
        <v>1319</v>
      </c>
      <c r="D21" s="4">
        <v>93.8</v>
      </c>
      <c r="E21" s="4">
        <v>255.88</v>
      </c>
      <c r="F21" s="4">
        <v>6</v>
      </c>
      <c r="G21" s="9">
        <v>198.45</v>
      </c>
      <c r="H21" s="20">
        <f t="shared" si="7"/>
        <v>292.25</v>
      </c>
      <c r="I21" s="4">
        <f t="shared" si="0"/>
        <v>454.33</v>
      </c>
      <c r="J21" s="4">
        <v>11</v>
      </c>
      <c r="K21" s="4">
        <v>24.688500000000001</v>
      </c>
      <c r="L21" s="4">
        <v>28.489000000000001</v>
      </c>
      <c r="M21" s="4">
        <v>27.8368</v>
      </c>
      <c r="N21" s="4">
        <v>-3.68</v>
      </c>
      <c r="O21" s="4">
        <v>24.9</v>
      </c>
      <c r="P21" s="4">
        <f t="shared" si="1"/>
        <v>0.20715941936918361</v>
      </c>
      <c r="Q21" s="4">
        <v>30</v>
      </c>
      <c r="R21" s="4">
        <v>24.759599999999999</v>
      </c>
      <c r="S21" s="4">
        <v>28.051100000000002</v>
      </c>
      <c r="T21" s="4">
        <v>27.433299999999999</v>
      </c>
      <c r="U21" s="4">
        <v>-1.82</v>
      </c>
      <c r="V21" s="4">
        <v>24.9</v>
      </c>
      <c r="W21" s="4">
        <f t="shared" si="2"/>
        <v>0.23106556457343849</v>
      </c>
      <c r="X21" s="4">
        <v>3</v>
      </c>
      <c r="Y21" s="4">
        <v>24.497599999999998</v>
      </c>
      <c r="Z21" s="4">
        <v>28.727</v>
      </c>
      <c r="AA21" s="4">
        <v>27.8125</v>
      </c>
      <c r="AB21" s="4">
        <v>-0.55000000000000004</v>
      </c>
      <c r="AC21" s="4">
        <v>24.9</v>
      </c>
      <c r="AD21" s="4">
        <f t="shared" si="3"/>
        <v>0.27587559202389211</v>
      </c>
      <c r="AE21" s="4">
        <f t="shared" si="4"/>
        <v>0.2380335253221714</v>
      </c>
      <c r="AF21" s="4">
        <f t="shared" si="5"/>
        <v>9.1369000000000042</v>
      </c>
      <c r="AG21" s="4">
        <v>114.53</v>
      </c>
      <c r="AH21" s="21">
        <f t="shared" si="8"/>
        <v>96.404920344851718</v>
      </c>
      <c r="AI21" s="4">
        <f t="shared" si="6"/>
        <v>0.97378707419042143</v>
      </c>
    </row>
    <row r="22" spans="1:36">
      <c r="A22" s="4">
        <v>21</v>
      </c>
      <c r="B22" s="22" t="s">
        <v>43</v>
      </c>
      <c r="C22" s="4">
        <v>1483</v>
      </c>
      <c r="D22" s="4">
        <v>94.2</v>
      </c>
      <c r="E22" s="4">
        <v>259.92</v>
      </c>
      <c r="F22" s="4">
        <v>4</v>
      </c>
      <c r="G22" s="9">
        <v>195.66</v>
      </c>
      <c r="H22" s="20">
        <f t="shared" si="7"/>
        <v>289.86</v>
      </c>
      <c r="I22" s="4">
        <f t="shared" si="0"/>
        <v>455.58000000000004</v>
      </c>
      <c r="J22" s="4">
        <v>12</v>
      </c>
      <c r="K22" s="16">
        <v>24.568000000000001</v>
      </c>
      <c r="L22" s="16">
        <v>27.064900000000002</v>
      </c>
      <c r="M22" s="16">
        <v>27.1968</v>
      </c>
      <c r="N22" s="16">
        <v>-14.76</v>
      </c>
      <c r="O22" s="16">
        <v>24.8</v>
      </c>
      <c r="P22" s="15">
        <f t="shared" si="1"/>
        <v>-5.0174984783931155E-2</v>
      </c>
      <c r="Q22" s="4">
        <v>13</v>
      </c>
      <c r="R22" s="4">
        <v>23.497800000000002</v>
      </c>
      <c r="S22" s="4">
        <v>26.737200000000001</v>
      </c>
      <c r="T22" s="4">
        <v>26.377500000000001</v>
      </c>
      <c r="U22" s="4">
        <v>-8.1199999999999992</v>
      </c>
      <c r="V22" s="4">
        <v>24.9</v>
      </c>
      <c r="W22" s="4">
        <f t="shared" si="2"/>
        <v>0.12490884467131999</v>
      </c>
      <c r="X22" s="4">
        <v>22</v>
      </c>
      <c r="Y22" s="4">
        <v>24.5748</v>
      </c>
      <c r="Z22" s="4">
        <v>29.0839</v>
      </c>
      <c r="AA22" s="4">
        <v>28.343299999999999</v>
      </c>
      <c r="AB22" s="4">
        <v>-2.39</v>
      </c>
      <c r="AC22" s="4">
        <v>24.9</v>
      </c>
      <c r="AD22" s="4">
        <f t="shared" si="3"/>
        <v>0.19652381584184708</v>
      </c>
      <c r="AE22" s="4">
        <f>AVERAGE(W22,AD22)</f>
        <v>0.16071633025658355</v>
      </c>
      <c r="AF22" s="4">
        <f t="shared" si="5"/>
        <v>9.2769999999999975</v>
      </c>
      <c r="AG22" s="4">
        <v>122.51</v>
      </c>
      <c r="AH22" s="21">
        <f t="shared" si="8"/>
        <v>112.09764238026597</v>
      </c>
      <c r="AI22" s="4">
        <f t="shared" si="6"/>
        <v>1.1322994179824846</v>
      </c>
      <c r="AJ22" s="14" t="s">
        <v>44</v>
      </c>
    </row>
    <row r="23" spans="1:36">
      <c r="A23" s="4">
        <v>22</v>
      </c>
      <c r="B23" s="4" t="s">
        <v>45</v>
      </c>
      <c r="C23" s="4">
        <v>1290</v>
      </c>
      <c r="D23" s="4">
        <v>93.5</v>
      </c>
      <c r="E23" s="4">
        <v>264.48</v>
      </c>
      <c r="F23" s="4">
        <v>5</v>
      </c>
      <c r="G23" s="9">
        <v>193.86</v>
      </c>
      <c r="H23" s="20">
        <f t="shared" si="7"/>
        <v>287.36</v>
      </c>
      <c r="I23" s="4">
        <f t="shared" si="0"/>
        <v>458.34000000000003</v>
      </c>
      <c r="J23" s="4">
        <v>17</v>
      </c>
      <c r="K23" s="4">
        <v>23.492899999999999</v>
      </c>
      <c r="L23" s="4">
        <v>27.512599999999999</v>
      </c>
      <c r="M23" s="4">
        <v>26.917000000000002</v>
      </c>
      <c r="N23" s="4">
        <v>-4</v>
      </c>
      <c r="O23" s="4">
        <v>249.9</v>
      </c>
      <c r="P23" s="4">
        <f t="shared" si="1"/>
        <v>0.17394351800473029</v>
      </c>
      <c r="Q23" s="4">
        <v>22</v>
      </c>
      <c r="R23" s="4">
        <v>24.223109999999998</v>
      </c>
      <c r="S23" s="4">
        <v>29.776499999999999</v>
      </c>
      <c r="T23" s="4">
        <v>29.150400000000001</v>
      </c>
      <c r="U23" s="4">
        <v>-8.17</v>
      </c>
      <c r="V23" s="4">
        <v>24.9</v>
      </c>
      <c r="W23" s="4">
        <f t="shared" si="2"/>
        <v>0.12706782024195798</v>
      </c>
      <c r="X23" s="4">
        <v>25</v>
      </c>
      <c r="Y23" s="4">
        <v>25.024100000000001</v>
      </c>
      <c r="Z23" s="4">
        <v>29.6264</v>
      </c>
      <c r="AA23" s="4">
        <v>28.968900000000001</v>
      </c>
      <c r="AB23" s="4">
        <v>-4.25</v>
      </c>
      <c r="AC23" s="4">
        <v>24.9</v>
      </c>
      <c r="AD23" s="4">
        <f t="shared" si="3"/>
        <v>0.16667511660920672</v>
      </c>
      <c r="AE23" s="4">
        <f t="shared" si="4"/>
        <v>0.15589548495196501</v>
      </c>
      <c r="AF23" s="4">
        <f t="shared" si="5"/>
        <v>12.296189999999999</v>
      </c>
      <c r="AG23" s="4">
        <v>119.2</v>
      </c>
      <c r="AH23" s="21">
        <f t="shared" si="8"/>
        <v>112.91344819372577</v>
      </c>
      <c r="AI23" s="4">
        <f t="shared" si="6"/>
        <v>1.1405398807447047</v>
      </c>
    </row>
    <row r="24" spans="1:36">
      <c r="A24" s="4">
        <v>23</v>
      </c>
      <c r="B24" s="4" t="s">
        <v>46</v>
      </c>
      <c r="C24" s="4">
        <v>1194</v>
      </c>
      <c r="D24" s="4">
        <v>93.7</v>
      </c>
      <c r="E24" s="4">
        <v>236.12</v>
      </c>
      <c r="F24" s="4">
        <v>3</v>
      </c>
      <c r="G24" s="9">
        <v>194.82</v>
      </c>
      <c r="H24" s="20">
        <f t="shared" si="7"/>
        <v>288.52</v>
      </c>
      <c r="I24" s="4">
        <f t="shared" si="0"/>
        <v>430.94</v>
      </c>
      <c r="J24" s="4">
        <v>3</v>
      </c>
      <c r="K24" s="4">
        <v>24.4968</v>
      </c>
      <c r="L24" s="4">
        <v>28.2484</v>
      </c>
      <c r="M24" s="4">
        <v>27.663599999999999</v>
      </c>
      <c r="N24" s="4">
        <v>-6.64</v>
      </c>
      <c r="O24" s="4">
        <v>24.9</v>
      </c>
      <c r="P24" s="4">
        <f t="shared" si="1"/>
        <v>0.18466590880384035</v>
      </c>
      <c r="Q24" s="4">
        <v>10</v>
      </c>
      <c r="R24" s="4">
        <v>24.603200000000001</v>
      </c>
      <c r="S24" s="4">
        <v>28.630299999999998</v>
      </c>
      <c r="T24" s="4">
        <v>27.735099999999999</v>
      </c>
      <c r="U24" s="4">
        <v>-1.2</v>
      </c>
      <c r="V24" s="4">
        <v>24.9</v>
      </c>
      <c r="W24" s="4">
        <f t="shared" si="2"/>
        <v>0.28583288099875465</v>
      </c>
      <c r="X24" s="4">
        <v>11</v>
      </c>
      <c r="Y24" s="4">
        <v>24.6877</v>
      </c>
      <c r="Z24" s="4">
        <v>28.347000000000001</v>
      </c>
      <c r="AA24" s="4">
        <v>27.543299999999999</v>
      </c>
      <c r="AB24" s="4">
        <v>-1.25</v>
      </c>
      <c r="AC24" s="4">
        <v>24.9</v>
      </c>
      <c r="AD24" s="4">
        <f t="shared" si="3"/>
        <v>0.28144698136994084</v>
      </c>
      <c r="AE24" s="4">
        <f t="shared" si="4"/>
        <v>0.25064859039084525</v>
      </c>
      <c r="AF24" s="4">
        <f t="shared" si="5"/>
        <v>9.1542999999999992</v>
      </c>
      <c r="AG24" s="4">
        <v>97.61</v>
      </c>
      <c r="AH24" s="21">
        <f t="shared" si="8"/>
        <v>82.298491091949586</v>
      </c>
      <c r="AI24" s="4">
        <f t="shared" si="6"/>
        <v>0.83129788981767261</v>
      </c>
    </row>
    <row r="25" spans="1:36">
      <c r="A25" s="4">
        <v>24</v>
      </c>
      <c r="B25" s="4" t="s">
        <v>47</v>
      </c>
      <c r="C25" s="4">
        <v>603</v>
      </c>
      <c r="D25" s="4">
        <v>96.34</v>
      </c>
      <c r="E25" s="4">
        <v>256.10000000000002</v>
      </c>
      <c r="F25" s="4">
        <v>2</v>
      </c>
      <c r="G25" s="9">
        <v>196.3</v>
      </c>
      <c r="H25" s="20">
        <f t="shared" si="7"/>
        <v>292.64</v>
      </c>
      <c r="I25" s="4">
        <f t="shared" si="0"/>
        <v>452.40000000000003</v>
      </c>
      <c r="J25" s="4">
        <v>1</v>
      </c>
      <c r="K25" s="4">
        <v>24.374300000000002</v>
      </c>
      <c r="L25" s="4">
        <v>28.7193</v>
      </c>
      <c r="M25" s="4">
        <v>28.161799999999999</v>
      </c>
      <c r="N25" s="4">
        <v>-6.18</v>
      </c>
      <c r="O25" s="4">
        <v>24.9</v>
      </c>
      <c r="P25" s="4">
        <f t="shared" si="1"/>
        <v>0.14719471947194754</v>
      </c>
      <c r="Q25" s="4">
        <v>21</v>
      </c>
      <c r="R25" s="4">
        <v>24.223199999999999</v>
      </c>
      <c r="S25" s="4">
        <v>29.111999999999998</v>
      </c>
      <c r="T25" s="4">
        <v>28.216100000000001</v>
      </c>
      <c r="U25" s="4">
        <v>-1.26</v>
      </c>
      <c r="V25" s="4">
        <v>25</v>
      </c>
      <c r="W25" s="4">
        <f t="shared" si="2"/>
        <v>0.22437326254100953</v>
      </c>
      <c r="X25" s="4">
        <v>28</v>
      </c>
      <c r="Y25" s="4">
        <v>24.5564</v>
      </c>
      <c r="Z25" s="4">
        <v>29.42</v>
      </c>
      <c r="AA25" s="4">
        <v>28.4133</v>
      </c>
      <c r="AB25" s="4">
        <v>-0.34</v>
      </c>
      <c r="AC25" s="4">
        <v>24.9</v>
      </c>
      <c r="AD25" s="4">
        <f t="shared" si="3"/>
        <v>0.2610127304311759</v>
      </c>
      <c r="AE25" s="4">
        <f t="shared" si="4"/>
        <v>0.21086023748137764</v>
      </c>
      <c r="AF25" s="4">
        <f t="shared" si="5"/>
        <v>11.6373</v>
      </c>
      <c r="AG25" s="4">
        <v>114.11</v>
      </c>
      <c r="AH25" s="21">
        <f t="shared" si="8"/>
        <v>101.686038301</v>
      </c>
      <c r="AI25" s="4">
        <f t="shared" si="6"/>
        <v>1.027131700010101</v>
      </c>
    </row>
    <row r="26" spans="1:36">
      <c r="A26" s="4">
        <v>25</v>
      </c>
      <c r="B26" s="4" t="s">
        <v>48</v>
      </c>
      <c r="C26" s="4">
        <v>631</v>
      </c>
      <c r="D26" s="4">
        <v>98.6</v>
      </c>
      <c r="E26" s="4">
        <v>253.67</v>
      </c>
      <c r="F26" s="4">
        <v>1</v>
      </c>
      <c r="G26" s="9">
        <v>197.78</v>
      </c>
      <c r="H26" s="20">
        <f t="shared" si="7"/>
        <v>296.38</v>
      </c>
      <c r="I26" s="4">
        <f t="shared" si="0"/>
        <v>451.45</v>
      </c>
      <c r="J26" s="4">
        <v>2</v>
      </c>
      <c r="K26" s="4">
        <v>24.4251</v>
      </c>
      <c r="L26" s="4">
        <v>28.122199999999999</v>
      </c>
      <c r="M26" s="4">
        <v>27.3324</v>
      </c>
      <c r="N26" s="4">
        <v>-1.85</v>
      </c>
      <c r="O26" s="4">
        <v>24.8</v>
      </c>
      <c r="P26" s="4">
        <f t="shared" si="1"/>
        <v>0.27166099129776761</v>
      </c>
      <c r="Q26" s="4">
        <v>3</v>
      </c>
      <c r="R26" s="4">
        <v>24.497</v>
      </c>
      <c r="S26" s="4">
        <v>29.5824</v>
      </c>
      <c r="T26" s="4">
        <v>28.4315</v>
      </c>
      <c r="U26" s="4">
        <v>-0.44</v>
      </c>
      <c r="V26" s="4">
        <v>24.9</v>
      </c>
      <c r="W26" s="4">
        <f t="shared" si="2"/>
        <v>0.29251493201169149</v>
      </c>
      <c r="X26" s="4">
        <v>22</v>
      </c>
      <c r="Y26" s="4">
        <v>24.574100000000001</v>
      </c>
      <c r="Z26" s="4">
        <v>29.908999999999999</v>
      </c>
      <c r="AA26" s="4">
        <v>28.623999999999999</v>
      </c>
      <c r="AB26" s="4">
        <v>0.8</v>
      </c>
      <c r="AC26" s="4">
        <v>24.9</v>
      </c>
      <c r="AD26" s="4">
        <f t="shared" si="3"/>
        <v>0.3172917849823455</v>
      </c>
      <c r="AE26" s="4">
        <f t="shared" si="4"/>
        <v>0.29382256943060153</v>
      </c>
      <c r="AF26" s="4">
        <f t="shared" si="5"/>
        <v>10.8917</v>
      </c>
      <c r="AG26" s="4">
        <v>112</v>
      </c>
      <c r="AH26" s="21">
        <f t="shared" si="8"/>
        <v>89.983572223772626</v>
      </c>
      <c r="AI26" s="4">
        <f t="shared" si="6"/>
        <v>0.90892497195729927</v>
      </c>
    </row>
    <row r="27" spans="1:36">
      <c r="A27" s="4">
        <v>26</v>
      </c>
      <c r="B27" s="4" t="s">
        <v>49</v>
      </c>
      <c r="C27" s="4">
        <v>1182</v>
      </c>
      <c r="D27" s="4">
        <v>93.8</v>
      </c>
      <c r="E27" s="4">
        <v>265.52</v>
      </c>
      <c r="F27" s="4">
        <v>4</v>
      </c>
      <c r="G27" s="9">
        <v>195.66</v>
      </c>
      <c r="H27" s="20">
        <f t="shared" si="7"/>
        <v>289.45999999999998</v>
      </c>
      <c r="I27" s="4">
        <f t="shared" si="0"/>
        <v>461.17999999999995</v>
      </c>
      <c r="J27" s="4">
        <v>17</v>
      </c>
      <c r="K27" s="4">
        <v>23.495899999999999</v>
      </c>
      <c r="L27" s="4">
        <v>28.436599999999999</v>
      </c>
      <c r="M27" s="4">
        <v>27.845800000000001</v>
      </c>
      <c r="N27" s="4">
        <v>-10.58</v>
      </c>
      <c r="O27" s="4">
        <v>24.8</v>
      </c>
      <c r="P27" s="4">
        <f t="shared" si="1"/>
        <v>0.13581921423480947</v>
      </c>
      <c r="Q27" s="4">
        <v>25</v>
      </c>
      <c r="R27" s="4">
        <v>25.025500000000001</v>
      </c>
      <c r="S27" s="4">
        <v>30.025500000000001</v>
      </c>
      <c r="T27" s="4">
        <v>29.2925</v>
      </c>
      <c r="U27" s="4">
        <v>-3.96</v>
      </c>
      <c r="V27" s="4">
        <v>24.9</v>
      </c>
      <c r="W27" s="4">
        <f t="shared" si="2"/>
        <v>0.17178345441762377</v>
      </c>
      <c r="X27" s="4">
        <v>30</v>
      </c>
      <c r="Y27" s="4">
        <v>22.685199999999998</v>
      </c>
      <c r="Z27" s="4">
        <v>28.4468</v>
      </c>
      <c r="AA27" s="4">
        <v>27.527200000000001</v>
      </c>
      <c r="AB27" s="4">
        <v>-3.07</v>
      </c>
      <c r="AC27" s="4">
        <v>24.8</v>
      </c>
      <c r="AD27" s="4">
        <f t="shared" si="3"/>
        <v>0.18992152003304391</v>
      </c>
      <c r="AE27" s="4">
        <f t="shared" si="4"/>
        <v>0.16584139622849239</v>
      </c>
      <c r="AF27" s="4">
        <f t="shared" si="5"/>
        <v>13.458900000000003</v>
      </c>
      <c r="AG27" s="4">
        <v>127.79</v>
      </c>
      <c r="AH27" s="21">
        <f t="shared" si="8"/>
        <v>120.05602797596096</v>
      </c>
      <c r="AI27" s="4">
        <f t="shared" si="6"/>
        <v>1.212687151272333</v>
      </c>
    </row>
    <row r="28" spans="1:36">
      <c r="A28" s="4">
        <v>27</v>
      </c>
      <c r="B28" s="4" t="s">
        <v>50</v>
      </c>
      <c r="C28" s="4">
        <v>1326</v>
      </c>
      <c r="D28" s="4">
        <v>93.3</v>
      </c>
      <c r="E28" s="4">
        <v>240.87</v>
      </c>
      <c r="F28" s="4">
        <v>3</v>
      </c>
      <c r="G28" s="4">
        <v>194.82</v>
      </c>
      <c r="H28" s="20">
        <f t="shared" si="7"/>
        <v>288.12</v>
      </c>
      <c r="I28" s="4">
        <f t="shared" si="0"/>
        <v>435.69</v>
      </c>
      <c r="J28" s="4">
        <v>7</v>
      </c>
      <c r="K28" s="4">
        <v>24.707000000000001</v>
      </c>
      <c r="L28" s="4">
        <v>29.497399999999999</v>
      </c>
      <c r="M28" s="4">
        <v>28.861799999999999</v>
      </c>
      <c r="N28" s="4">
        <v>-3.73</v>
      </c>
      <c r="O28" s="4">
        <v>24.9</v>
      </c>
      <c r="P28" s="4">
        <f t="shared" si="1"/>
        <v>0.15297968614614432</v>
      </c>
      <c r="Q28" s="4">
        <v>8</v>
      </c>
      <c r="R28" s="4">
        <v>24.725200000000001</v>
      </c>
      <c r="S28" s="4">
        <v>28.4116</v>
      </c>
      <c r="T28" s="4">
        <v>28.009799999999998</v>
      </c>
      <c r="U28" s="4">
        <v>-8.8699999999999992</v>
      </c>
      <c r="V28" s="4">
        <v>24.9</v>
      </c>
      <c r="W28" s="4">
        <f t="shared" si="2"/>
        <v>0.12232844181940017</v>
      </c>
      <c r="X28" s="4">
        <v>9</v>
      </c>
      <c r="Y28" s="4">
        <v>24.537400000000002</v>
      </c>
      <c r="Z28" s="4">
        <v>26.475100000000001</v>
      </c>
      <c r="AA28" s="4">
        <v>26.344200000000001</v>
      </c>
      <c r="AB28" s="4">
        <v>-83.07</v>
      </c>
      <c r="AC28" s="4">
        <v>24.9</v>
      </c>
      <c r="AD28" s="4">
        <f t="shared" si="3"/>
        <v>7.2448527783927671E-2</v>
      </c>
      <c r="AE28" s="4">
        <f t="shared" si="4"/>
        <v>0.11591888524982406</v>
      </c>
      <c r="AF28" s="4">
        <f t="shared" si="5"/>
        <v>9.2461999999999911</v>
      </c>
      <c r="AG28" s="4">
        <v>81.97</v>
      </c>
      <c r="AH28" s="21">
        <f t="shared" si="8"/>
        <v>81.714328976071911</v>
      </c>
      <c r="AI28" s="4">
        <f t="shared" si="6"/>
        <v>0.82539726238456479</v>
      </c>
    </row>
    <row r="29" spans="1:36">
      <c r="A29" s="4">
        <v>28</v>
      </c>
      <c r="B29" s="4" t="s">
        <v>51</v>
      </c>
      <c r="C29" s="4">
        <v>1291</v>
      </c>
      <c r="D29" s="4">
        <v>93.3</v>
      </c>
      <c r="E29" s="4">
        <v>234.48</v>
      </c>
      <c r="F29" s="4">
        <v>2</v>
      </c>
      <c r="G29" s="9">
        <v>196.3</v>
      </c>
      <c r="H29" s="20">
        <f t="shared" si="7"/>
        <v>289.60000000000002</v>
      </c>
      <c r="I29" s="4">
        <f t="shared" si="0"/>
        <v>430.78</v>
      </c>
      <c r="J29" s="4">
        <v>13</v>
      </c>
      <c r="K29" s="4">
        <v>23.497299999999999</v>
      </c>
      <c r="L29" s="4">
        <v>28.011600000000001</v>
      </c>
      <c r="M29" s="4">
        <v>27.755800000000001</v>
      </c>
      <c r="N29" s="4">
        <v>-160.62</v>
      </c>
      <c r="O29" s="4">
        <v>24.9</v>
      </c>
      <c r="P29" s="4">
        <f t="shared" si="1"/>
        <v>6.0068099095925934E-2</v>
      </c>
      <c r="Q29" s="4">
        <v>14</v>
      </c>
      <c r="R29" s="4">
        <v>23.536100000000001</v>
      </c>
      <c r="S29" s="4">
        <v>27.104299999999999</v>
      </c>
      <c r="T29" s="4">
        <v>26.738700000000001</v>
      </c>
      <c r="U29" s="4">
        <v>-6.12</v>
      </c>
      <c r="V29" s="4">
        <v>24.9</v>
      </c>
      <c r="W29" s="4">
        <f t="shared" si="2"/>
        <v>0.11415724723661931</v>
      </c>
      <c r="X29" s="4">
        <v>17</v>
      </c>
      <c r="Y29" s="16">
        <v>23.495100000000001</v>
      </c>
      <c r="Z29" s="16">
        <v>25.958600000000001</v>
      </c>
      <c r="AA29" s="16">
        <v>26.576799999999999</v>
      </c>
      <c r="AB29" s="16">
        <v>-3.98</v>
      </c>
      <c r="AC29" s="16">
        <v>24.9</v>
      </c>
      <c r="AD29" s="15">
        <f>(Z29-AA29)/(AA29-Y29)</f>
        <v>-0.20060356296849094</v>
      </c>
      <c r="AE29" s="4">
        <f>AVERAGE(P29,W29)</f>
        <v>8.7112673166272622E-2</v>
      </c>
      <c r="AF29" s="4">
        <f t="shared" si="5"/>
        <v>10.5428</v>
      </c>
      <c r="AG29" s="4">
        <v>82.65</v>
      </c>
      <c r="AH29" s="21">
        <f t="shared" si="8"/>
        <v>85.992937562807583</v>
      </c>
      <c r="AI29" s="4">
        <f t="shared" si="6"/>
        <v>0.86861553093745036</v>
      </c>
    </row>
    <row r="30" spans="1:36">
      <c r="A30" s="4">
        <v>29</v>
      </c>
      <c r="B30" s="4" t="s">
        <v>52</v>
      </c>
      <c r="C30" s="4">
        <v>1217</v>
      </c>
      <c r="D30" s="4">
        <v>95.3</v>
      </c>
      <c r="E30" s="4">
        <v>240.53</v>
      </c>
      <c r="F30" s="4">
        <v>5</v>
      </c>
      <c r="G30" s="9">
        <v>193.86</v>
      </c>
      <c r="H30" s="20">
        <f t="shared" si="7"/>
        <v>289.16000000000003</v>
      </c>
      <c r="I30" s="4">
        <f t="shared" si="0"/>
        <v>434.39</v>
      </c>
      <c r="J30" s="4">
        <v>20</v>
      </c>
      <c r="K30" s="4">
        <v>22.6861</v>
      </c>
      <c r="L30" s="4">
        <v>26.636800000000001</v>
      </c>
      <c r="M30" s="4">
        <v>26.524999999999999</v>
      </c>
      <c r="N30" s="4">
        <v>-169.65</v>
      </c>
      <c r="O30" s="4">
        <v>24.9</v>
      </c>
      <c r="P30" s="4">
        <f t="shared" si="1"/>
        <v>2.9122925838131333E-2</v>
      </c>
      <c r="Q30" s="4">
        <v>24</v>
      </c>
      <c r="R30" s="4">
        <v>24.629300000000001</v>
      </c>
      <c r="S30" s="4">
        <v>28.3581</v>
      </c>
      <c r="T30" s="4">
        <v>28.2121</v>
      </c>
      <c r="U30" s="4">
        <v>-151.19</v>
      </c>
      <c r="V30" s="4">
        <v>24.9</v>
      </c>
      <c r="W30" s="4">
        <f t="shared" si="2"/>
        <v>4.0750251200178868E-2</v>
      </c>
      <c r="X30" s="4">
        <v>29</v>
      </c>
      <c r="Y30" s="4">
        <v>24.742699999999999</v>
      </c>
      <c r="Z30" s="4">
        <v>28.133700000000001</v>
      </c>
      <c r="AA30" s="4">
        <v>27.971599999999999</v>
      </c>
      <c r="AB30" s="4">
        <v>-109.28</v>
      </c>
      <c r="AC30" s="4">
        <v>24.9</v>
      </c>
      <c r="AD30" s="4">
        <f t="shared" si="3"/>
        <v>5.0202855461613051E-2</v>
      </c>
      <c r="AE30" s="4">
        <f t="shared" si="4"/>
        <v>4.002534416664108E-2</v>
      </c>
      <c r="AF30" s="4">
        <f t="shared" si="5"/>
        <v>10.650599999999997</v>
      </c>
      <c r="AG30" s="4">
        <v>80.06</v>
      </c>
      <c r="AH30" s="21">
        <f t="shared" si="8"/>
        <v>87.506170946018713</v>
      </c>
      <c r="AI30" s="4">
        <f t="shared" si="6"/>
        <v>0.88390071662645164</v>
      </c>
    </row>
    <row r="31" spans="1:36">
      <c r="A31" s="4">
        <v>30</v>
      </c>
      <c r="B31" s="4" t="s">
        <v>53</v>
      </c>
      <c r="C31" s="4">
        <v>626</v>
      </c>
      <c r="D31" s="4">
        <v>98.44</v>
      </c>
      <c r="E31" s="4">
        <v>243.98</v>
      </c>
      <c r="F31" s="4">
        <v>6</v>
      </c>
      <c r="G31" s="9">
        <v>198.45</v>
      </c>
      <c r="H31" s="20">
        <f t="shared" si="7"/>
        <v>296.89</v>
      </c>
      <c r="I31" s="4">
        <f t="shared" si="0"/>
        <v>442.42999999999995</v>
      </c>
      <c r="J31" s="4">
        <v>1</v>
      </c>
      <c r="K31" s="4">
        <v>24.3748</v>
      </c>
      <c r="L31" s="4">
        <v>29.296900000000001</v>
      </c>
      <c r="M31" s="4">
        <v>28.6599</v>
      </c>
      <c r="N31" s="4">
        <v>-12.18</v>
      </c>
      <c r="O31" s="4">
        <v>24.9</v>
      </c>
      <c r="P31" s="4">
        <f t="shared" si="1"/>
        <v>0.14865464049847155</v>
      </c>
      <c r="Q31" s="4">
        <v>24</v>
      </c>
      <c r="R31" s="4">
        <v>24.6279</v>
      </c>
      <c r="S31" s="4">
        <v>30.890799999999999</v>
      </c>
      <c r="T31" s="4">
        <v>29.750499999999999</v>
      </c>
      <c r="U31" s="4">
        <v>-2.74</v>
      </c>
      <c r="V31" s="4">
        <v>24.9</v>
      </c>
      <c r="W31" s="4">
        <f t="shared" si="2"/>
        <v>0.22260180377152231</v>
      </c>
      <c r="X31" s="4">
        <v>29</v>
      </c>
      <c r="Y31" s="4">
        <v>24.739899999999999</v>
      </c>
      <c r="Z31" s="4">
        <v>29.986499999999999</v>
      </c>
      <c r="AA31" s="4">
        <v>28.9284</v>
      </c>
      <c r="AB31" s="4">
        <v>-0.78</v>
      </c>
      <c r="AC31" s="4">
        <v>24.9</v>
      </c>
      <c r="AD31" s="4">
        <f t="shared" si="3"/>
        <v>0.25262026978631952</v>
      </c>
      <c r="AE31" s="4">
        <f t="shared" si="4"/>
        <v>0.20795890468543776</v>
      </c>
      <c r="AF31" s="4">
        <f t="shared" si="5"/>
        <v>13.596200000000003</v>
      </c>
      <c r="AG31" s="4">
        <v>82.05</v>
      </c>
      <c r="AH31" s="21">
        <f t="shared" si="8"/>
        <v>78.583171870559823</v>
      </c>
      <c r="AI31" s="4">
        <f t="shared" si="6"/>
        <v>0.79376941283393765</v>
      </c>
    </row>
    <row r="32" spans="1:36">
      <c r="A32" s="4">
        <v>31</v>
      </c>
      <c r="B32" s="4" t="s">
        <v>54</v>
      </c>
      <c r="C32" s="4">
        <v>1381</v>
      </c>
      <c r="D32" s="4">
        <v>92.8</v>
      </c>
      <c r="E32" s="4">
        <v>247.93</v>
      </c>
      <c r="F32" s="4">
        <v>1</v>
      </c>
      <c r="G32" s="9">
        <v>197.78</v>
      </c>
      <c r="H32" s="20">
        <f t="shared" si="7"/>
        <v>290.58</v>
      </c>
      <c r="I32" s="4">
        <f t="shared" si="0"/>
        <v>445.71000000000004</v>
      </c>
      <c r="J32" s="9">
        <v>3</v>
      </c>
      <c r="K32" s="9">
        <v>24.497399999999999</v>
      </c>
      <c r="L32" s="9">
        <v>29.3858</v>
      </c>
      <c r="M32" s="9">
        <v>28.917999999999999</v>
      </c>
      <c r="N32" s="9">
        <v>-11.29</v>
      </c>
      <c r="O32" s="9">
        <v>24.9</v>
      </c>
      <c r="P32" s="4">
        <f t="shared" si="1"/>
        <v>0.10582273899470669</v>
      </c>
      <c r="Q32" s="9">
        <v>17</v>
      </c>
      <c r="R32" s="9">
        <v>23.494700000000002</v>
      </c>
      <c r="S32" s="9">
        <v>28.254999999999999</v>
      </c>
      <c r="T32" s="9">
        <v>27.338000000000001</v>
      </c>
      <c r="U32" s="9">
        <v>-0.25</v>
      </c>
      <c r="V32" s="9">
        <v>24.9</v>
      </c>
      <c r="W32" s="4">
        <f t="shared" si="2"/>
        <v>0.23859703900293971</v>
      </c>
      <c r="X32" s="9">
        <v>20</v>
      </c>
      <c r="Y32" s="9">
        <v>22.686800000000002</v>
      </c>
      <c r="Z32" s="9">
        <v>27.286999999999999</v>
      </c>
      <c r="AA32" s="9">
        <v>26.4116</v>
      </c>
      <c r="AB32" s="9">
        <v>0.1</v>
      </c>
      <c r="AC32" s="9">
        <v>24.9</v>
      </c>
      <c r="AD32" s="4">
        <f t="shared" si="3"/>
        <v>0.23501932989690708</v>
      </c>
      <c r="AE32" s="4">
        <f t="shared" si="4"/>
        <v>0.19314636929818449</v>
      </c>
      <c r="AF32" s="4">
        <f t="shared" si="5"/>
        <v>11.988699999999998</v>
      </c>
      <c r="AG32" s="4">
        <v>109.23</v>
      </c>
      <c r="AH32" s="21">
        <f t="shared" si="8"/>
        <v>100.1213220815593</v>
      </c>
      <c r="AI32" s="4">
        <f t="shared" si="6"/>
        <v>1.0113264856723161</v>
      </c>
    </row>
    <row r="33" spans="1:35">
      <c r="A33" s="4">
        <v>32</v>
      </c>
      <c r="B33" s="4" t="s">
        <v>55</v>
      </c>
      <c r="C33" s="4">
        <v>1323</v>
      </c>
      <c r="D33" s="4">
        <v>96</v>
      </c>
      <c r="E33" s="4">
        <v>185.67</v>
      </c>
      <c r="F33" s="4">
        <v>4</v>
      </c>
      <c r="G33" s="9">
        <v>195.66</v>
      </c>
      <c r="H33" s="20">
        <f t="shared" si="7"/>
        <v>291.65999999999997</v>
      </c>
      <c r="I33" s="4">
        <f t="shared" si="0"/>
        <v>381.33</v>
      </c>
      <c r="J33" s="9">
        <v>7</v>
      </c>
      <c r="K33" s="9">
        <v>24.707100000000001</v>
      </c>
      <c r="L33" s="9">
        <v>26.991</v>
      </c>
      <c r="M33" s="9">
        <v>26.873100000000001</v>
      </c>
      <c r="N33" s="9">
        <v>-86.03</v>
      </c>
      <c r="O33" s="9">
        <v>24.9</v>
      </c>
      <c r="P33" s="4">
        <f t="shared" si="1"/>
        <v>5.4432132963988349E-2</v>
      </c>
      <c r="Q33" s="9">
        <v>8</v>
      </c>
      <c r="R33" s="9">
        <v>24.726199999999999</v>
      </c>
      <c r="S33" s="9">
        <v>28.328299999999999</v>
      </c>
      <c r="T33" s="9">
        <v>28.022300000000001</v>
      </c>
      <c r="U33" s="9">
        <v>-12.5</v>
      </c>
      <c r="V33" s="9">
        <v>24.9</v>
      </c>
      <c r="W33" s="4">
        <f t="shared" si="2"/>
        <v>9.2836989169017059E-2</v>
      </c>
      <c r="X33" s="9">
        <v>13</v>
      </c>
      <c r="Y33" s="9">
        <v>23.497499999999999</v>
      </c>
      <c r="Z33" s="9">
        <v>27.1952</v>
      </c>
      <c r="AA33" s="9">
        <v>26.736799999999999</v>
      </c>
      <c r="AB33" s="9">
        <v>-2.89</v>
      </c>
      <c r="AC33" s="9">
        <v>24.9</v>
      </c>
      <c r="AD33" s="4">
        <f t="shared" si="3"/>
        <v>0.14151205507362732</v>
      </c>
      <c r="AE33" s="4">
        <f t="shared" si="4"/>
        <v>9.6260392402210918E-2</v>
      </c>
      <c r="AF33" s="4">
        <f t="shared" si="5"/>
        <v>8.7014000000000031</v>
      </c>
      <c r="AG33" s="4">
        <v>80.17</v>
      </c>
      <c r="AH33" s="21">
        <f t="shared" si="8"/>
        <v>81.154204341114749</v>
      </c>
      <c r="AI33" s="4">
        <f t="shared" si="6"/>
        <v>0.81973943778903791</v>
      </c>
    </row>
    <row r="34" spans="1:35">
      <c r="A34" s="4">
        <v>33</v>
      </c>
      <c r="B34" s="4" t="s">
        <v>56</v>
      </c>
      <c r="C34" s="4">
        <v>1495</v>
      </c>
      <c r="D34" s="4">
        <v>95.1</v>
      </c>
      <c r="E34" s="4">
        <v>245.49</v>
      </c>
      <c r="F34" s="4">
        <v>3</v>
      </c>
      <c r="G34" s="4">
        <v>194.82</v>
      </c>
      <c r="H34" s="20">
        <f t="shared" si="7"/>
        <v>289.91999999999996</v>
      </c>
      <c r="I34" s="4">
        <f t="shared" si="0"/>
        <v>440.31</v>
      </c>
      <c r="J34" s="9">
        <v>7</v>
      </c>
      <c r="K34" s="9">
        <v>24.708200000000001</v>
      </c>
      <c r="L34" s="9">
        <v>27.014299999999999</v>
      </c>
      <c r="M34" s="9">
        <v>26.753699999999998</v>
      </c>
      <c r="N34" s="9">
        <v>-33.049999999999997</v>
      </c>
      <c r="O34" s="9">
        <v>24.9</v>
      </c>
      <c r="P34" s="4">
        <f t="shared" si="1"/>
        <v>0.12740161329748254</v>
      </c>
      <c r="Q34" s="9">
        <v>8</v>
      </c>
      <c r="R34" s="9">
        <v>24.727499999999999</v>
      </c>
      <c r="S34" s="9">
        <v>28.518999999999998</v>
      </c>
      <c r="T34" s="9">
        <v>27.784199999999998</v>
      </c>
      <c r="U34" s="9">
        <v>-3.4</v>
      </c>
      <c r="V34" s="9">
        <v>24.9</v>
      </c>
      <c r="W34" s="4">
        <f t="shared" si="2"/>
        <v>0.24038996303202803</v>
      </c>
      <c r="X34" s="9">
        <v>9</v>
      </c>
      <c r="Y34" s="9">
        <v>24.538499999999999</v>
      </c>
      <c r="Z34" s="9">
        <v>28.538599999999999</v>
      </c>
      <c r="AA34" s="9">
        <v>27.823</v>
      </c>
      <c r="AB34" s="9">
        <v>-4.46</v>
      </c>
      <c r="AC34" s="9">
        <v>24.9</v>
      </c>
      <c r="AD34" s="4">
        <f t="shared" si="3"/>
        <v>0.21787182219515852</v>
      </c>
      <c r="AE34" s="4">
        <f t="shared" si="4"/>
        <v>0.19522113284155637</v>
      </c>
      <c r="AF34" s="4">
        <f t="shared" si="5"/>
        <v>8.3866999999999976</v>
      </c>
      <c r="AG34" s="4">
        <v>88.65</v>
      </c>
      <c r="AH34" s="21">
        <f t="shared" si="8"/>
        <v>79.730346573596023</v>
      </c>
      <c r="AI34" s="4">
        <f t="shared" si="6"/>
        <v>0.80535703609692955</v>
      </c>
    </row>
    <row r="35" spans="1:35">
      <c r="A35" s="4">
        <v>34</v>
      </c>
      <c r="B35" s="4" t="s">
        <v>57</v>
      </c>
      <c r="C35" s="4">
        <v>1418</v>
      </c>
      <c r="D35" s="4">
        <v>94</v>
      </c>
      <c r="E35" s="4">
        <v>283.31</v>
      </c>
      <c r="F35" s="4">
        <v>5</v>
      </c>
      <c r="G35" s="9">
        <v>193.86</v>
      </c>
      <c r="H35" s="20">
        <f t="shared" si="7"/>
        <v>287.86</v>
      </c>
      <c r="I35" s="4">
        <f t="shared" si="0"/>
        <v>477.17</v>
      </c>
      <c r="J35" s="9">
        <v>17</v>
      </c>
      <c r="K35" s="9">
        <v>23.494800000000001</v>
      </c>
      <c r="L35" s="9">
        <v>27.4512</v>
      </c>
      <c r="M35" s="9">
        <v>27.2759</v>
      </c>
      <c r="N35" s="9">
        <v>-60.27</v>
      </c>
      <c r="O35" s="9">
        <v>24.9</v>
      </c>
      <c r="P35" s="4">
        <f t="shared" si="1"/>
        <v>4.636216973896487E-2</v>
      </c>
      <c r="Q35" s="9">
        <v>24</v>
      </c>
      <c r="R35" s="9">
        <v>24.6296</v>
      </c>
      <c r="S35" s="9">
        <v>29.8047</v>
      </c>
      <c r="T35" s="9">
        <v>29.3675</v>
      </c>
      <c r="U35" s="9">
        <v>-10.1</v>
      </c>
      <c r="V35" s="9">
        <v>24.9</v>
      </c>
      <c r="W35" s="4">
        <f t="shared" si="2"/>
        <v>9.22771692099877E-2</v>
      </c>
      <c r="X35" s="9">
        <v>29</v>
      </c>
      <c r="Y35" s="9">
        <v>24.741099999999999</v>
      </c>
      <c r="Z35" s="9">
        <v>29.6341</v>
      </c>
      <c r="AA35" s="9">
        <v>29.100999999999999</v>
      </c>
      <c r="AB35" s="9">
        <v>-3.69</v>
      </c>
      <c r="AC35" s="9">
        <v>24.9</v>
      </c>
      <c r="AD35" s="4">
        <f t="shared" si="3"/>
        <v>0.12227344663868461</v>
      </c>
      <c r="AE35" s="4">
        <f t="shared" si="4"/>
        <v>8.6970928529212399E-2</v>
      </c>
      <c r="AF35" s="4">
        <f t="shared" si="5"/>
        <v>12.878900000000005</v>
      </c>
      <c r="AG35" s="4">
        <v>144.9</v>
      </c>
      <c r="AH35" s="21">
        <f t="shared" si="8"/>
        <v>145.17681245611715</v>
      </c>
      <c r="AI35" s="4">
        <f t="shared" si="6"/>
        <v>1.4664324490516885</v>
      </c>
    </row>
    <row r="36" spans="1:35">
      <c r="A36" s="4">
        <v>35</v>
      </c>
      <c r="B36" s="4" t="s">
        <v>58</v>
      </c>
      <c r="C36" s="4">
        <v>12019</v>
      </c>
      <c r="D36" s="4">
        <v>205.1</v>
      </c>
      <c r="E36" s="4">
        <v>586.41999999999996</v>
      </c>
      <c r="F36" s="4">
        <v>7</v>
      </c>
      <c r="G36" s="4">
        <v>0</v>
      </c>
      <c r="H36" s="20">
        <f t="shared" si="7"/>
        <v>205.1</v>
      </c>
      <c r="I36" s="4">
        <f t="shared" si="0"/>
        <v>586.41999999999996</v>
      </c>
      <c r="J36" s="9">
        <v>12</v>
      </c>
      <c r="K36" s="9">
        <v>24.567299999999999</v>
      </c>
      <c r="L36" s="9">
        <v>27.728100000000001</v>
      </c>
      <c r="M36" s="9">
        <v>27.501100000000001</v>
      </c>
      <c r="N36" s="9">
        <v>-55.04</v>
      </c>
      <c r="O36" s="9">
        <v>24.9</v>
      </c>
      <c r="P36" s="4">
        <f t="shared" si="1"/>
        <v>7.7374054127752473E-2</v>
      </c>
      <c r="Q36" s="9">
        <v>13</v>
      </c>
      <c r="R36" s="9">
        <v>23.498000000000001</v>
      </c>
      <c r="S36" s="9">
        <v>27.8018</v>
      </c>
      <c r="T36" s="9">
        <v>27.161899999999999</v>
      </c>
      <c r="U36" s="9">
        <v>-4.95</v>
      </c>
      <c r="V36" s="9">
        <v>24.9</v>
      </c>
      <c r="W36" s="4">
        <f t="shared" si="2"/>
        <v>0.17464996315401651</v>
      </c>
      <c r="X36" s="9">
        <v>14</v>
      </c>
      <c r="Y36" s="9">
        <v>23.537700000000001</v>
      </c>
      <c r="Z36" s="9">
        <v>28.808199999999999</v>
      </c>
      <c r="AA36" s="9">
        <v>28.0321</v>
      </c>
      <c r="AB36" s="9">
        <v>-4.1500000000000004</v>
      </c>
      <c r="AC36" s="9">
        <v>24.9</v>
      </c>
      <c r="AD36" s="4">
        <f t="shared" si="3"/>
        <v>0.17268155927376286</v>
      </c>
      <c r="AE36" s="4">
        <f t="shared" si="4"/>
        <v>0.14156852551851062</v>
      </c>
      <c r="AF36" s="4">
        <f t="shared" si="5"/>
        <v>11.092100000000002</v>
      </c>
      <c r="AG36" s="4">
        <v>255.23</v>
      </c>
      <c r="AH36" s="21">
        <f t="shared" si="8"/>
        <v>230.18956523191054</v>
      </c>
      <c r="AI36" s="4">
        <f>AH36/250</f>
        <v>0.92075826092764212</v>
      </c>
    </row>
    <row r="37" spans="1:35">
      <c r="A37" s="4">
        <v>36</v>
      </c>
      <c r="B37" s="4" t="s">
        <v>59</v>
      </c>
      <c r="C37" s="4">
        <v>6651</v>
      </c>
      <c r="D37" s="4">
        <v>195</v>
      </c>
      <c r="E37" s="4">
        <v>534.94000000000005</v>
      </c>
      <c r="F37" s="4">
        <v>8</v>
      </c>
      <c r="G37" s="4">
        <v>0</v>
      </c>
      <c r="H37" s="20">
        <f t="shared" si="7"/>
        <v>195</v>
      </c>
      <c r="I37" s="4">
        <f t="shared" si="0"/>
        <v>534.94000000000005</v>
      </c>
      <c r="J37" s="9">
        <v>15</v>
      </c>
      <c r="K37" s="9">
        <v>23.408200000000001</v>
      </c>
      <c r="L37" s="9">
        <v>24.542200000000001</v>
      </c>
      <c r="M37" s="9">
        <v>24.400600000000001</v>
      </c>
      <c r="N37" s="9">
        <v>-93.97</v>
      </c>
      <c r="O37" s="9">
        <v>24.8</v>
      </c>
      <c r="P37" s="4">
        <f t="shared" si="1"/>
        <v>0.1426844014510282</v>
      </c>
      <c r="Q37" s="9">
        <v>16</v>
      </c>
      <c r="R37" s="9">
        <v>24.8749</v>
      </c>
      <c r="S37" s="9">
        <v>27.911200000000001</v>
      </c>
      <c r="T37" s="9">
        <v>27.496300000000002</v>
      </c>
      <c r="U37" s="9">
        <v>-13.29</v>
      </c>
      <c r="V37" s="9">
        <v>24.8</v>
      </c>
      <c r="W37" s="4">
        <f t="shared" si="2"/>
        <v>0.15827420462348332</v>
      </c>
      <c r="X37" s="9">
        <v>17</v>
      </c>
      <c r="Y37" s="9">
        <v>23.496200000000002</v>
      </c>
      <c r="Z37" s="9">
        <v>26.806699999999999</v>
      </c>
      <c r="AA37" s="9">
        <v>26.4023</v>
      </c>
      <c r="AB37" s="9">
        <v>-11.36</v>
      </c>
      <c r="AC37" s="9">
        <v>25</v>
      </c>
      <c r="AD37" s="4">
        <f t="shared" si="3"/>
        <v>0.13915556931970655</v>
      </c>
      <c r="AE37" s="4">
        <f t="shared" si="4"/>
        <v>0.14670472513140601</v>
      </c>
      <c r="AF37" s="4">
        <f t="shared" si="5"/>
        <v>6.5198999999999998</v>
      </c>
      <c r="AG37" s="4">
        <v>205.88</v>
      </c>
      <c r="AH37" s="21">
        <f t="shared" si="8"/>
        <v>182.19633118994614</v>
      </c>
      <c r="AI37" s="4">
        <f>AH37/250</f>
        <v>0.72878532475978453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4F27-9228-4B9F-98A5-F84A9A7306A3}">
  <dimension ref="A1:S37"/>
  <sheetViews>
    <sheetView tabSelected="1" topLeftCell="G1" workbookViewId="0">
      <selection activeCell="L6" sqref="L6"/>
    </sheetView>
  </sheetViews>
  <sheetFormatPr defaultRowHeight="15"/>
  <cols>
    <col min="1" max="1" width="9.140625" style="4"/>
    <col min="2" max="2" width="17.85546875" style="4" customWidth="1"/>
    <col min="3" max="5" width="8.85546875" style="4" bestFit="1" customWidth="1"/>
    <col min="6" max="6" width="12" style="4" bestFit="1" customWidth="1"/>
    <col min="7" max="8" width="12" style="4" customWidth="1"/>
    <col min="9" max="16" width="9.140625" style="4"/>
  </cols>
  <sheetData>
    <row r="1" spans="1:19" s="1" customFormat="1" ht="174">
      <c r="A1" s="2" t="s">
        <v>0</v>
      </c>
      <c r="B1" s="2" t="s">
        <v>1</v>
      </c>
      <c r="C1" s="3" t="s">
        <v>60</v>
      </c>
      <c r="D1" s="3" t="s">
        <v>61</v>
      </c>
      <c r="E1" s="3" t="s">
        <v>62</v>
      </c>
      <c r="F1" s="12" t="s">
        <v>63</v>
      </c>
      <c r="G1" s="3" t="s">
        <v>64</v>
      </c>
      <c r="H1" s="12" t="s">
        <v>65</v>
      </c>
      <c r="I1" s="3" t="s">
        <v>66</v>
      </c>
      <c r="J1" s="3" t="s">
        <v>67</v>
      </c>
      <c r="K1" s="3" t="s">
        <v>68</v>
      </c>
      <c r="L1" s="12" t="s">
        <v>69</v>
      </c>
      <c r="M1" s="12" t="s">
        <v>70</v>
      </c>
      <c r="N1" s="12" t="s">
        <v>71</v>
      </c>
      <c r="O1" s="12" t="s">
        <v>72</v>
      </c>
      <c r="P1" s="12" t="s">
        <v>73</v>
      </c>
      <c r="Q1" s="18" t="s">
        <v>74</v>
      </c>
      <c r="R1" s="18" t="s">
        <v>75</v>
      </c>
      <c r="S1" s="19" t="s">
        <v>76</v>
      </c>
    </row>
    <row r="2" spans="1:19">
      <c r="A2" s="4">
        <v>1</v>
      </c>
      <c r="B2" s="4" t="s">
        <v>22</v>
      </c>
      <c r="C2" s="4">
        <v>5.0999999999999996</v>
      </c>
      <c r="D2" s="4">
        <v>5.0999999999999996</v>
      </c>
      <c r="E2" s="4">
        <v>5.0999999999999996</v>
      </c>
      <c r="F2" s="6">
        <f t="shared" ref="F2:F6" si="0">AVERAGE(C2,D2,E2)</f>
        <v>5.0999999999999996</v>
      </c>
      <c r="G2" s="6">
        <v>5.0999999999999996</v>
      </c>
      <c r="H2" s="6">
        <f>F2-G2</f>
        <v>0</v>
      </c>
      <c r="I2" s="4">
        <v>2.1</v>
      </c>
      <c r="J2" s="4">
        <v>2.1</v>
      </c>
      <c r="K2" s="4">
        <v>2.1</v>
      </c>
      <c r="L2" s="4">
        <f>J2-K2</f>
        <v>0</v>
      </c>
      <c r="M2" s="4">
        <f>K2-I2</f>
        <v>0</v>
      </c>
      <c r="N2" s="4">
        <f>'Hyprop and Ksat'!AH2</f>
        <v>114.90939597023609</v>
      </c>
      <c r="O2" s="6">
        <f>'Hyprop and Ksat'!AI2</f>
        <v>1.1607009693963242</v>
      </c>
      <c r="P2" s="6">
        <f>(N2+M2)/99</f>
        <v>1.1607009693963242</v>
      </c>
      <c r="Q2" s="17">
        <f>H2/F2</f>
        <v>0</v>
      </c>
      <c r="R2" s="17">
        <f>(P2-O2)/(O2*P2)</f>
        <v>0</v>
      </c>
    </row>
    <row r="3" spans="1:19">
      <c r="A3" s="4">
        <v>2</v>
      </c>
      <c r="B3" s="4" t="s">
        <v>23</v>
      </c>
      <c r="C3" s="4">
        <v>5.7</v>
      </c>
      <c r="D3" s="4">
        <v>5.5</v>
      </c>
      <c r="E3" s="4">
        <v>5.7</v>
      </c>
      <c r="F3" s="6">
        <f t="shared" si="0"/>
        <v>5.6333333333333329</v>
      </c>
      <c r="G3" s="6">
        <v>5.0999999999999996</v>
      </c>
      <c r="H3" s="6">
        <f t="shared" ref="H3:H37" si="1">F3-G3</f>
        <v>0.53333333333333321</v>
      </c>
      <c r="I3" s="4">
        <v>2.0699999999999998</v>
      </c>
      <c r="J3" s="4">
        <v>12.01</v>
      </c>
      <c r="K3" s="4">
        <v>9.0299999999999994</v>
      </c>
      <c r="L3" s="4">
        <f>J3-K3</f>
        <v>2.9800000000000004</v>
      </c>
      <c r="M3" s="4">
        <f t="shared" ref="M3:M37" si="2">K3-I3</f>
        <v>6.9599999999999991</v>
      </c>
      <c r="N3" s="4">
        <f>'Hyprop and Ksat'!AH3</f>
        <v>113.20263025477863</v>
      </c>
      <c r="O3" s="6">
        <f>'Hyprop and Ksat'!AI3</f>
        <v>1.1434609116644305</v>
      </c>
      <c r="P3" s="6">
        <f t="shared" ref="P3:P35" si="3">(N3+M3)/99</f>
        <v>1.2137639419674608</v>
      </c>
      <c r="Q3" s="17">
        <f t="shared" ref="Q3:Q37" si="4">H3/F3</f>
        <v>9.4674556213017735E-2</v>
      </c>
      <c r="R3" s="17">
        <f t="shared" ref="R3:R37" si="5">(P3-O3)/(O3*P3)</f>
        <v>5.0654553357184773E-2</v>
      </c>
    </row>
    <row r="4" spans="1:19">
      <c r="A4" s="4">
        <v>3</v>
      </c>
      <c r="B4" s="4" t="s">
        <v>24</v>
      </c>
      <c r="C4" s="4">
        <v>5.7</v>
      </c>
      <c r="D4" s="4">
        <v>5.7</v>
      </c>
      <c r="E4" s="4">
        <v>5.5</v>
      </c>
      <c r="F4" s="6">
        <f t="shared" si="0"/>
        <v>5.6333333333333329</v>
      </c>
      <c r="G4" s="6">
        <v>5.0999999999999996</v>
      </c>
      <c r="H4" s="6">
        <f t="shared" si="1"/>
        <v>0.53333333333333321</v>
      </c>
      <c r="I4" s="4">
        <v>2.13</v>
      </c>
      <c r="J4" s="4">
        <v>14.38</v>
      </c>
      <c r="K4" s="4">
        <v>9.3000000000000007</v>
      </c>
      <c r="L4" s="4">
        <f t="shared" ref="L3:L37" si="6">J4-K4</f>
        <v>5.08</v>
      </c>
      <c r="M4" s="4">
        <f t="shared" si="2"/>
        <v>7.1700000000000008</v>
      </c>
      <c r="N4" s="4">
        <f>'Hyprop and Ksat'!AH4</f>
        <v>72.833650057169777</v>
      </c>
      <c r="O4" s="6">
        <f>'Hyprop and Ksat'!AI4</f>
        <v>0.73569343492090689</v>
      </c>
      <c r="P4" s="6">
        <f t="shared" si="3"/>
        <v>0.80811767734514928</v>
      </c>
      <c r="Q4" s="17">
        <f t="shared" si="4"/>
        <v>9.4674556213017735E-2</v>
      </c>
      <c r="R4" s="17">
        <f t="shared" si="5"/>
        <v>0.12181828289867273</v>
      </c>
    </row>
    <row r="5" spans="1:19">
      <c r="A5" s="4">
        <v>4</v>
      </c>
      <c r="B5" s="4" t="s">
        <v>26</v>
      </c>
      <c r="C5" s="4">
        <v>6</v>
      </c>
      <c r="D5" s="4">
        <v>5.35</v>
      </c>
      <c r="E5" s="4">
        <v>5.6</v>
      </c>
      <c r="F5" s="6">
        <f t="shared" si="0"/>
        <v>5.6499999999999995</v>
      </c>
      <c r="G5" s="6">
        <v>5.0999999999999996</v>
      </c>
      <c r="H5" s="6">
        <f t="shared" si="1"/>
        <v>0.54999999999999982</v>
      </c>
      <c r="I5" s="4">
        <v>2.1</v>
      </c>
      <c r="J5" s="4">
        <v>14.64</v>
      </c>
      <c r="K5" s="4">
        <v>8.1</v>
      </c>
      <c r="L5" s="4">
        <f t="shared" si="6"/>
        <v>6.5400000000000009</v>
      </c>
      <c r="M5" s="4">
        <f t="shared" si="2"/>
        <v>6</v>
      </c>
      <c r="N5" s="4">
        <f>'Hyprop and Ksat'!AH5</f>
        <v>75.05011619637348</v>
      </c>
      <c r="O5" s="6">
        <f>'Hyprop and Ksat'!AI5</f>
        <v>0.75808198178155028</v>
      </c>
      <c r="P5" s="6">
        <f t="shared" si="3"/>
        <v>0.81868804238761095</v>
      </c>
      <c r="Q5" s="17">
        <f t="shared" si="4"/>
        <v>9.7345132743362803E-2</v>
      </c>
      <c r="R5" s="17">
        <f t="shared" si="5"/>
        <v>9.765206559981561E-2</v>
      </c>
    </row>
    <row r="6" spans="1:19">
      <c r="A6" s="4">
        <v>5</v>
      </c>
      <c r="B6" s="4" t="s">
        <v>27</v>
      </c>
      <c r="C6" s="4">
        <v>5.3</v>
      </c>
      <c r="D6" s="4">
        <v>5.4</v>
      </c>
      <c r="E6" s="4">
        <v>5.4</v>
      </c>
      <c r="F6" s="6">
        <f t="shared" si="0"/>
        <v>5.3666666666666671</v>
      </c>
      <c r="G6" s="6">
        <v>5.0999999999999996</v>
      </c>
      <c r="H6" s="6">
        <f t="shared" si="1"/>
        <v>0.2666666666666675</v>
      </c>
      <c r="I6" s="4">
        <v>2.11</v>
      </c>
      <c r="J6" s="4">
        <v>13.21</v>
      </c>
      <c r="K6" s="4">
        <v>7.04</v>
      </c>
      <c r="L6" s="4">
        <f t="shared" si="6"/>
        <v>6.1700000000000008</v>
      </c>
      <c r="M6" s="4">
        <f t="shared" si="2"/>
        <v>4.93</v>
      </c>
      <c r="N6" s="4">
        <f>'Hyprop and Ksat'!AH6</f>
        <v>81.422824204935182</v>
      </c>
      <c r="O6" s="6">
        <f>'Hyprop and Ksat'!AI6</f>
        <v>0.82245276974682002</v>
      </c>
      <c r="P6" s="6">
        <f t="shared" si="3"/>
        <v>0.87225074954479986</v>
      </c>
      <c r="Q6" s="17">
        <f t="shared" si="4"/>
        <v>4.9689440993788969E-2</v>
      </c>
      <c r="R6" s="17">
        <f t="shared" si="5"/>
        <v>6.9415971455785902E-2</v>
      </c>
    </row>
    <row r="7" spans="1:19">
      <c r="A7" s="4">
        <v>6</v>
      </c>
      <c r="B7" s="4" t="s">
        <v>28</v>
      </c>
      <c r="C7" s="4">
        <v>5.6</v>
      </c>
      <c r="D7" s="4">
        <v>5.5</v>
      </c>
      <c r="E7" s="4">
        <v>5.6</v>
      </c>
      <c r="F7" s="6">
        <f>AVERAGE(C7,D7,E7)</f>
        <v>5.5666666666666664</v>
      </c>
      <c r="G7" s="6">
        <v>5.0999999999999996</v>
      </c>
      <c r="H7" s="6">
        <f t="shared" si="1"/>
        <v>0.46666666666666679</v>
      </c>
      <c r="I7" s="4">
        <v>2.14</v>
      </c>
      <c r="J7" s="4">
        <v>13.28</v>
      </c>
      <c r="K7" s="4">
        <v>6.84</v>
      </c>
      <c r="L7" s="4">
        <f t="shared" si="6"/>
        <v>6.4399999999999995</v>
      </c>
      <c r="M7" s="4">
        <f t="shared" si="2"/>
        <v>4.6999999999999993</v>
      </c>
      <c r="N7" s="4">
        <f>'Hyprop and Ksat'!AH7</f>
        <v>71.837566991740374</v>
      </c>
      <c r="O7" s="6">
        <f>'Hyprop and Ksat'!AI7</f>
        <v>0.72563198981555932</v>
      </c>
      <c r="P7" s="6">
        <f t="shared" si="3"/>
        <v>0.77310673729030688</v>
      </c>
      <c r="Q7" s="17">
        <f t="shared" si="4"/>
        <v>8.383233532934134E-2</v>
      </c>
      <c r="R7" s="17">
        <f t="shared" si="5"/>
        <v>8.4626578959631341E-2</v>
      </c>
    </row>
    <row r="8" spans="1:19">
      <c r="A8" s="4">
        <v>7</v>
      </c>
      <c r="B8" s="4" t="s">
        <v>29</v>
      </c>
      <c r="C8" s="4">
        <v>5.5</v>
      </c>
      <c r="D8" s="4">
        <v>5.4</v>
      </c>
      <c r="E8" s="4">
        <v>5.4</v>
      </c>
      <c r="F8" s="6">
        <f t="shared" ref="F8:F37" si="7">AVERAGE(C8,D8,E8)</f>
        <v>5.4333333333333336</v>
      </c>
      <c r="G8" s="6">
        <v>5.0999999999999996</v>
      </c>
      <c r="H8" s="6">
        <f t="shared" si="1"/>
        <v>0.33333333333333393</v>
      </c>
      <c r="I8" s="4">
        <v>1.27</v>
      </c>
      <c r="J8" s="4">
        <v>8.26</v>
      </c>
      <c r="K8" s="4">
        <v>5.8887</v>
      </c>
      <c r="L8" s="4">
        <f t="shared" si="6"/>
        <v>2.3712999999999997</v>
      </c>
      <c r="M8" s="4">
        <f t="shared" si="2"/>
        <v>4.6187000000000005</v>
      </c>
      <c r="N8" s="4">
        <f>'Hyprop and Ksat'!AH8</f>
        <v>121.28397966418994</v>
      </c>
      <c r="O8" s="6">
        <f>'Hyprop and Ksat'!AI8</f>
        <v>1.2250907036786862</v>
      </c>
      <c r="P8" s="6">
        <f t="shared" si="3"/>
        <v>1.2717442390322218</v>
      </c>
      <c r="Q8" s="17">
        <f t="shared" si="4"/>
        <v>6.1349693251533846E-2</v>
      </c>
      <c r="R8" s="17">
        <f t="shared" si="5"/>
        <v>2.9944463495655833E-2</v>
      </c>
    </row>
    <row r="9" spans="1:19">
      <c r="A9" s="4">
        <v>8</v>
      </c>
      <c r="B9" s="4" t="s">
        <v>30</v>
      </c>
      <c r="C9" s="4">
        <v>5.7</v>
      </c>
      <c r="D9" s="4">
        <v>5.5</v>
      </c>
      <c r="E9" s="4">
        <v>5.7</v>
      </c>
      <c r="F9" s="6">
        <f t="shared" si="7"/>
        <v>5.6333333333333329</v>
      </c>
      <c r="G9" s="6">
        <v>5.0999999999999996</v>
      </c>
      <c r="H9" s="6">
        <f t="shared" si="1"/>
        <v>0.53333333333333321</v>
      </c>
      <c r="I9" s="4">
        <v>1.28</v>
      </c>
      <c r="J9" s="4">
        <v>6.84</v>
      </c>
      <c r="K9" s="4">
        <v>4.7239000000000004</v>
      </c>
      <c r="L9" s="4">
        <f t="shared" si="6"/>
        <v>2.1160999999999994</v>
      </c>
      <c r="M9" s="4">
        <f t="shared" si="2"/>
        <v>3.4439000000000002</v>
      </c>
      <c r="N9" s="4">
        <f>'Hyprop and Ksat'!AH9</f>
        <v>92.988683020747757</v>
      </c>
      <c r="O9" s="6">
        <f>'Hyprop and Ksat'!AI9</f>
        <v>0.93927962647219954</v>
      </c>
      <c r="P9" s="6">
        <f t="shared" si="3"/>
        <v>0.97406649515906829</v>
      </c>
      <c r="Q9" s="17">
        <f t="shared" si="4"/>
        <v>9.4674556213017735E-2</v>
      </c>
      <c r="R9" s="17">
        <f t="shared" si="5"/>
        <v>3.8021726213625082E-2</v>
      </c>
    </row>
    <row r="10" spans="1:19">
      <c r="A10" s="4">
        <v>9</v>
      </c>
      <c r="B10" s="4" t="s">
        <v>31</v>
      </c>
      <c r="C10" s="4">
        <v>5.6</v>
      </c>
      <c r="D10" s="4">
        <v>5.45</v>
      </c>
      <c r="E10" s="4">
        <v>5.3</v>
      </c>
      <c r="F10" s="6">
        <f t="shared" si="7"/>
        <v>5.45</v>
      </c>
      <c r="G10" s="6">
        <v>5.0999999999999996</v>
      </c>
      <c r="H10" s="6">
        <f t="shared" si="1"/>
        <v>0.35000000000000053</v>
      </c>
      <c r="I10" s="4">
        <v>2.1</v>
      </c>
      <c r="J10" s="4">
        <v>5.36</v>
      </c>
      <c r="K10" s="4">
        <v>4.0068000000000001</v>
      </c>
      <c r="L10" s="4">
        <f t="shared" si="6"/>
        <v>1.3532000000000002</v>
      </c>
      <c r="M10" s="4">
        <f t="shared" si="2"/>
        <v>1.9068000000000001</v>
      </c>
      <c r="N10" s="4">
        <f>'Hyprop and Ksat'!AH10</f>
        <v>74.072781954022787</v>
      </c>
      <c r="O10" s="6">
        <f>'Hyprop and Ksat'!AI10</f>
        <v>0.74820991872750287</v>
      </c>
      <c r="P10" s="6">
        <f t="shared" si="3"/>
        <v>0.76747052478810895</v>
      </c>
      <c r="Q10" s="17">
        <f t="shared" si="4"/>
        <v>6.4220183486238633E-2</v>
      </c>
      <c r="R10" s="17">
        <f t="shared" si="5"/>
        <v>3.35416777668891E-2</v>
      </c>
    </row>
    <row r="11" spans="1:19">
      <c r="A11" s="4">
        <v>10</v>
      </c>
      <c r="B11" s="4" t="s">
        <v>32</v>
      </c>
      <c r="C11" s="4">
        <v>5.4</v>
      </c>
      <c r="D11" s="4">
        <v>5.0999999999999996</v>
      </c>
      <c r="E11" s="4">
        <v>5.0999999999999996</v>
      </c>
      <c r="F11" s="6">
        <f t="shared" si="7"/>
        <v>5.2</v>
      </c>
      <c r="G11" s="6">
        <v>5.0999999999999996</v>
      </c>
      <c r="H11" s="6">
        <f t="shared" si="1"/>
        <v>0.10000000000000053</v>
      </c>
      <c r="I11" s="7">
        <v>1.2996000000000001</v>
      </c>
      <c r="J11" s="7">
        <v>5.2153999999999998</v>
      </c>
      <c r="K11" s="4">
        <v>3.8614999999999999</v>
      </c>
      <c r="L11" s="4">
        <f t="shared" si="6"/>
        <v>1.3538999999999999</v>
      </c>
      <c r="M11" s="4">
        <f t="shared" si="2"/>
        <v>2.5618999999999996</v>
      </c>
      <c r="N11" s="4">
        <f>'Hyprop and Ksat'!AH11</f>
        <v>116.63154150533794</v>
      </c>
      <c r="O11" s="6">
        <f>'Hyprop and Ksat'!AI11</f>
        <v>1.1780963788417973</v>
      </c>
      <c r="P11" s="6">
        <f t="shared" si="3"/>
        <v>1.203974156619575</v>
      </c>
      <c r="Q11" s="17">
        <f t="shared" si="4"/>
        <v>1.9230769230769332E-2</v>
      </c>
      <c r="R11" s="17">
        <f t="shared" si="5"/>
        <v>1.8244375120787148E-2</v>
      </c>
    </row>
    <row r="12" spans="1:19">
      <c r="A12" s="4">
        <v>11</v>
      </c>
      <c r="B12" s="4" t="s">
        <v>33</v>
      </c>
      <c r="C12" s="4">
        <v>5.5</v>
      </c>
      <c r="D12" s="4">
        <v>5.45</v>
      </c>
      <c r="E12" s="4">
        <v>5.4</v>
      </c>
      <c r="F12" s="6">
        <f t="shared" si="7"/>
        <v>5.45</v>
      </c>
      <c r="G12" s="6">
        <v>5.0999999999999996</v>
      </c>
      <c r="H12" s="6">
        <f t="shared" si="1"/>
        <v>0.35000000000000053</v>
      </c>
      <c r="I12" s="4">
        <v>2.12</v>
      </c>
      <c r="J12" s="4">
        <v>11.31</v>
      </c>
      <c r="K12" s="4">
        <v>8.0654000000000003</v>
      </c>
      <c r="L12" s="4">
        <f t="shared" si="6"/>
        <v>3.2446000000000002</v>
      </c>
      <c r="M12" s="4">
        <f t="shared" si="2"/>
        <v>5.9454000000000002</v>
      </c>
      <c r="N12" s="4">
        <f>'Hyprop and Ksat'!AH12</f>
        <v>98.54440375373747</v>
      </c>
      <c r="O12" s="6">
        <f>'Hyprop and Ksat'!AI12</f>
        <v>0.99539801771451986</v>
      </c>
      <c r="P12" s="6">
        <f t="shared" si="3"/>
        <v>1.0554525631690654</v>
      </c>
      <c r="Q12" s="17">
        <f t="shared" si="4"/>
        <v>6.4220183486238633E-2</v>
      </c>
      <c r="R12" s="17">
        <f t="shared" si="5"/>
        <v>5.7162391986109062E-2</v>
      </c>
    </row>
    <row r="13" spans="1:19">
      <c r="A13" s="4">
        <v>12</v>
      </c>
      <c r="B13" s="4" t="s">
        <v>34</v>
      </c>
      <c r="C13" s="4">
        <v>5.6</v>
      </c>
      <c r="D13" s="4">
        <v>5.55</v>
      </c>
      <c r="E13" s="4">
        <v>5.5</v>
      </c>
      <c r="F13" s="6">
        <f t="shared" si="7"/>
        <v>5.55</v>
      </c>
      <c r="G13" s="6">
        <v>5.0999999999999996</v>
      </c>
      <c r="H13" s="6">
        <f t="shared" si="1"/>
        <v>0.45000000000000018</v>
      </c>
      <c r="I13" s="4">
        <v>2.08</v>
      </c>
      <c r="J13" s="4">
        <v>16.57</v>
      </c>
      <c r="K13" s="4">
        <v>9.4077000000000002</v>
      </c>
      <c r="L13" s="4">
        <f t="shared" si="6"/>
        <v>7.1623000000000001</v>
      </c>
      <c r="M13" s="4">
        <f t="shared" si="2"/>
        <v>7.3277000000000001</v>
      </c>
      <c r="N13" s="4">
        <f>'Hyprop and Ksat'!AH13</f>
        <v>74.0359769769791</v>
      </c>
      <c r="O13" s="6">
        <f>'Hyprop and Ksat'!AI13</f>
        <v>0.74783815128261721</v>
      </c>
      <c r="P13" s="6">
        <f t="shared" si="3"/>
        <v>0.82185532299978881</v>
      </c>
      <c r="Q13" s="17">
        <f t="shared" si="4"/>
        <v>8.1081081081081113E-2</v>
      </c>
      <c r="R13" s="17">
        <f t="shared" si="5"/>
        <v>0.12042856092488845</v>
      </c>
    </row>
    <row r="14" spans="1:19">
      <c r="A14" s="4">
        <v>13</v>
      </c>
      <c r="B14" s="4" t="s">
        <v>35</v>
      </c>
      <c r="C14" s="4">
        <v>5.5</v>
      </c>
      <c r="D14" s="4">
        <v>5.4</v>
      </c>
      <c r="E14" s="4">
        <v>5.5</v>
      </c>
      <c r="F14" s="6">
        <f t="shared" si="7"/>
        <v>5.4666666666666659</v>
      </c>
      <c r="G14" s="6">
        <v>5.0999999999999996</v>
      </c>
      <c r="H14" s="6">
        <f t="shared" si="1"/>
        <v>0.36666666666666625</v>
      </c>
      <c r="I14" s="4">
        <v>1.29</v>
      </c>
      <c r="J14" s="4">
        <v>6.01</v>
      </c>
      <c r="K14" s="4">
        <v>3.9527000000000001</v>
      </c>
      <c r="L14" s="4">
        <f t="shared" si="6"/>
        <v>2.0572999999999997</v>
      </c>
      <c r="M14" s="4">
        <f t="shared" si="2"/>
        <v>2.6627000000000001</v>
      </c>
      <c r="N14" s="4">
        <f>'Hyprop and Ksat'!AH14</f>
        <v>70.563017772233124</v>
      </c>
      <c r="O14" s="6">
        <f>'Hyprop and Ksat'!AI14</f>
        <v>0.71275775527508201</v>
      </c>
      <c r="P14" s="6">
        <f t="shared" si="3"/>
        <v>0.7396537148710417</v>
      </c>
      <c r="Q14" s="17">
        <f t="shared" si="4"/>
        <v>6.7073170731707252E-2</v>
      </c>
      <c r="R14" s="17">
        <f t="shared" si="5"/>
        <v>5.1017203536459034E-2</v>
      </c>
    </row>
    <row r="15" spans="1:19">
      <c r="A15" s="4">
        <v>14</v>
      </c>
      <c r="B15" s="4" t="s">
        <v>36</v>
      </c>
      <c r="C15" s="4">
        <v>5.6</v>
      </c>
      <c r="D15" s="4">
        <v>5.4</v>
      </c>
      <c r="E15" s="4">
        <v>5.4</v>
      </c>
      <c r="F15" s="6">
        <f t="shared" si="7"/>
        <v>5.4666666666666659</v>
      </c>
      <c r="G15" s="6">
        <v>5.0999999999999996</v>
      </c>
      <c r="H15" s="6">
        <f t="shared" si="1"/>
        <v>0.36666666666666625</v>
      </c>
      <c r="I15" s="4">
        <v>1.27</v>
      </c>
      <c r="J15" s="4">
        <v>7.13</v>
      </c>
      <c r="K15" s="4">
        <v>4.8827999999999996</v>
      </c>
      <c r="L15" s="4">
        <f t="shared" si="6"/>
        <v>2.2472000000000003</v>
      </c>
      <c r="M15" s="4">
        <f t="shared" si="2"/>
        <v>3.6127999999999996</v>
      </c>
      <c r="N15" s="4">
        <f>'Hyprop and Ksat'!AH15</f>
        <v>113.69641479724557</v>
      </c>
      <c r="O15" s="6">
        <f>'Hyprop and Ksat'!AI15</f>
        <v>1.1484486343156117</v>
      </c>
      <c r="P15" s="6">
        <f t="shared" si="3"/>
        <v>1.184941563608541</v>
      </c>
      <c r="Q15" s="17">
        <f t="shared" si="4"/>
        <v>6.7073170731707252E-2</v>
      </c>
      <c r="R15" s="17">
        <f t="shared" si="5"/>
        <v>2.6816384049755091E-2</v>
      </c>
    </row>
    <row r="16" spans="1:19">
      <c r="A16" s="4">
        <v>15</v>
      </c>
      <c r="B16" s="4" t="s">
        <v>37</v>
      </c>
      <c r="C16" s="4">
        <v>5.35</v>
      </c>
      <c r="D16" s="4">
        <v>5.4</v>
      </c>
      <c r="E16" s="4">
        <v>5.4</v>
      </c>
      <c r="F16" s="6">
        <f t="shared" si="7"/>
        <v>5.3833333333333329</v>
      </c>
      <c r="G16" s="6">
        <v>5.0999999999999996</v>
      </c>
      <c r="H16" s="6">
        <f t="shared" si="1"/>
        <v>0.28333333333333321</v>
      </c>
      <c r="I16" s="4">
        <v>1.27</v>
      </c>
      <c r="J16" s="4">
        <v>3.03</v>
      </c>
      <c r="K16" s="4">
        <v>2.2719999999999998</v>
      </c>
      <c r="L16" s="4">
        <f t="shared" si="6"/>
        <v>0.75800000000000001</v>
      </c>
      <c r="M16" s="4">
        <f t="shared" si="2"/>
        <v>1.0019999999999998</v>
      </c>
      <c r="N16" s="4">
        <f>'Hyprop and Ksat'!AH16</f>
        <v>76.172940627253737</v>
      </c>
      <c r="O16" s="6">
        <f>'Hyprop and Ksat'!AI16</f>
        <v>0.76942364269953267</v>
      </c>
      <c r="P16" s="6">
        <f t="shared" si="3"/>
        <v>0.77954485482074476</v>
      </c>
      <c r="Q16" s="17">
        <f t="shared" si="4"/>
        <v>5.2631578947368404E-2</v>
      </c>
      <c r="R16" s="17">
        <f t="shared" si="5"/>
        <v>1.687430483538703E-2</v>
      </c>
    </row>
    <row r="17" spans="1:18">
      <c r="A17" s="4">
        <v>16</v>
      </c>
      <c r="B17" s="4" t="s">
        <v>38</v>
      </c>
      <c r="C17" s="4">
        <v>5.6</v>
      </c>
      <c r="D17" s="4">
        <v>5.5</v>
      </c>
      <c r="E17" s="4">
        <v>5.5</v>
      </c>
      <c r="F17" s="6">
        <f t="shared" si="7"/>
        <v>5.5333333333333341</v>
      </c>
      <c r="G17" s="6">
        <v>5.0999999999999996</v>
      </c>
      <c r="H17" s="6">
        <f t="shared" si="1"/>
        <v>0.43333333333333446</v>
      </c>
      <c r="I17" s="4">
        <v>1.27</v>
      </c>
      <c r="J17" s="4">
        <v>5.0069999999999997</v>
      </c>
      <c r="K17" s="4">
        <v>3.2429000000000001</v>
      </c>
      <c r="L17" s="4">
        <f t="shared" si="6"/>
        <v>1.7640999999999996</v>
      </c>
      <c r="M17" s="4">
        <f t="shared" si="2"/>
        <v>1.9729000000000001</v>
      </c>
      <c r="N17" s="4">
        <f>'Hyprop and Ksat'!AH17</f>
        <v>78.059201092784733</v>
      </c>
      <c r="O17" s="6">
        <f>'Hyprop and Ksat'!AI17</f>
        <v>0.78847677871499733</v>
      </c>
      <c r="P17" s="6">
        <f t="shared" si="3"/>
        <v>0.80840506154328007</v>
      </c>
      <c r="Q17" s="17">
        <f t="shared" si="4"/>
        <v>7.8313253012048389E-2</v>
      </c>
      <c r="R17" s="17">
        <f t="shared" si="5"/>
        <v>3.1264533048039625E-2</v>
      </c>
    </row>
    <row r="18" spans="1:18">
      <c r="A18" s="4">
        <v>17</v>
      </c>
      <c r="B18" s="4" t="s">
        <v>39</v>
      </c>
      <c r="C18" s="4">
        <v>5.0999999999999996</v>
      </c>
      <c r="D18" s="4">
        <v>5.15</v>
      </c>
      <c r="E18" s="4">
        <v>5.2</v>
      </c>
      <c r="F18" s="4">
        <f t="shared" si="7"/>
        <v>5.1499999999999995</v>
      </c>
      <c r="G18" s="6">
        <v>5.0999999999999996</v>
      </c>
      <c r="H18" s="6">
        <f t="shared" si="1"/>
        <v>4.9999999999999822E-2</v>
      </c>
      <c r="I18" s="4">
        <v>1.3</v>
      </c>
      <c r="J18" s="4">
        <v>1.74</v>
      </c>
      <c r="K18" s="4">
        <v>1.5536000000000001</v>
      </c>
      <c r="L18" s="4">
        <f t="shared" si="6"/>
        <v>0.1863999999999999</v>
      </c>
      <c r="M18" s="4">
        <f t="shared" si="2"/>
        <v>0.25360000000000005</v>
      </c>
      <c r="N18" s="4">
        <f>'Hyprop and Ksat'!AH18</f>
        <v>118.86871222782719</v>
      </c>
      <c r="O18" s="6">
        <f>'Hyprop and Ksat'!AI18</f>
        <v>1.2006940629073453</v>
      </c>
      <c r="P18" s="6">
        <f t="shared" si="3"/>
        <v>1.2032556790689615</v>
      </c>
      <c r="Q18" s="17">
        <f t="shared" si="4"/>
        <v>9.7087378640776361E-3</v>
      </c>
      <c r="R18" s="17">
        <f t="shared" si="5"/>
        <v>1.7730613841350131E-3</v>
      </c>
    </row>
    <row r="19" spans="1:18">
      <c r="A19" s="4">
        <v>18</v>
      </c>
      <c r="B19" s="4" t="s">
        <v>40</v>
      </c>
      <c r="C19" s="4">
        <v>5.55</v>
      </c>
      <c r="D19" s="4">
        <v>5.5</v>
      </c>
      <c r="E19" s="4">
        <v>5.4</v>
      </c>
      <c r="F19" s="7">
        <f t="shared" si="7"/>
        <v>5.4833333333333343</v>
      </c>
      <c r="G19" s="6">
        <v>5.0999999999999996</v>
      </c>
      <c r="H19" s="6">
        <f t="shared" si="1"/>
        <v>0.38333333333333464</v>
      </c>
      <c r="I19" s="4">
        <v>1.28</v>
      </c>
      <c r="J19" s="4">
        <v>7.52</v>
      </c>
      <c r="K19" s="4">
        <v>5.1558000000000002</v>
      </c>
      <c r="L19" s="4">
        <f t="shared" si="6"/>
        <v>2.3641999999999994</v>
      </c>
      <c r="M19" s="4">
        <f t="shared" si="2"/>
        <v>3.8757999999999999</v>
      </c>
      <c r="N19" s="4">
        <f>'Hyprop and Ksat'!AH19</f>
        <v>121.18336869443664</v>
      </c>
      <c r="O19" s="6">
        <f>'Hyprop and Ksat'!AI19</f>
        <v>1.2240744312569358</v>
      </c>
      <c r="P19" s="6">
        <f t="shared" si="3"/>
        <v>1.2632239262064306</v>
      </c>
      <c r="Q19" s="17">
        <f t="shared" si="4"/>
        <v>6.9908814589665885E-2</v>
      </c>
      <c r="R19" s="17">
        <f t="shared" si="5"/>
        <v>2.5318501299401885E-2</v>
      </c>
    </row>
    <row r="20" spans="1:18">
      <c r="A20" s="4">
        <v>19</v>
      </c>
      <c r="B20" s="4" t="s">
        <v>41</v>
      </c>
      <c r="C20" s="4">
        <v>5.2</v>
      </c>
      <c r="D20" s="4">
        <v>5.2</v>
      </c>
      <c r="E20" s="4">
        <v>5.2</v>
      </c>
      <c r="F20" s="4">
        <f t="shared" si="7"/>
        <v>5.2</v>
      </c>
      <c r="G20" s="6">
        <v>5.0999999999999996</v>
      </c>
      <c r="H20" s="6">
        <f t="shared" si="1"/>
        <v>0.10000000000000053</v>
      </c>
      <c r="I20" s="4">
        <v>1.3</v>
      </c>
      <c r="J20" s="4">
        <v>1.95</v>
      </c>
      <c r="K20" s="4">
        <v>1.7383</v>
      </c>
      <c r="L20" s="4">
        <f t="shared" si="6"/>
        <v>0.2117</v>
      </c>
      <c r="M20" s="4">
        <f t="shared" si="2"/>
        <v>0.43829999999999991</v>
      </c>
      <c r="N20" s="4">
        <f>'Hyprop and Ksat'!AH20</f>
        <v>115.98857909557515</v>
      </c>
      <c r="O20" s="6">
        <f>'Hyprop and Ksat'!AI20</f>
        <v>1.1716018090462137</v>
      </c>
      <c r="P20" s="6">
        <f t="shared" si="3"/>
        <v>1.1760290817734864</v>
      </c>
      <c r="Q20" s="17">
        <f t="shared" si="4"/>
        <v>1.9230769230769332E-2</v>
      </c>
      <c r="R20" s="17">
        <f t="shared" si="5"/>
        <v>3.2132031275720913E-3</v>
      </c>
    </row>
    <row r="21" spans="1:18">
      <c r="A21" s="4">
        <v>20</v>
      </c>
      <c r="B21" s="4" t="s">
        <v>42</v>
      </c>
      <c r="C21" s="4">
        <v>5.3</v>
      </c>
      <c r="D21" s="4">
        <v>5.25</v>
      </c>
      <c r="E21" s="4">
        <v>5.5</v>
      </c>
      <c r="F21" s="4">
        <f t="shared" si="7"/>
        <v>5.3500000000000005</v>
      </c>
      <c r="G21" s="6">
        <v>5.0999999999999996</v>
      </c>
      <c r="H21" s="6">
        <f t="shared" si="1"/>
        <v>0.25000000000000089</v>
      </c>
      <c r="I21" s="4">
        <v>1.29</v>
      </c>
      <c r="J21" s="4">
        <v>9.9700000000000006</v>
      </c>
      <c r="K21" s="4">
        <v>4.2008000000000001</v>
      </c>
      <c r="L21" s="4">
        <f t="shared" si="6"/>
        <v>5.7692000000000005</v>
      </c>
      <c r="M21" s="4">
        <f t="shared" si="2"/>
        <v>2.9108000000000001</v>
      </c>
      <c r="N21" s="4">
        <f>'Hyprop and Ksat'!AH21</f>
        <v>96.404920344851718</v>
      </c>
      <c r="O21" s="6">
        <f>'Hyprop and Ksat'!AI21</f>
        <v>0.97378707419042143</v>
      </c>
      <c r="P21" s="6">
        <f t="shared" si="3"/>
        <v>1.0031890943924415</v>
      </c>
      <c r="Q21" s="17">
        <f t="shared" si="4"/>
        <v>4.6728971962616987E-2</v>
      </c>
      <c r="R21" s="17">
        <f t="shared" si="5"/>
        <v>3.0097495888493031E-2</v>
      </c>
    </row>
    <row r="22" spans="1:18">
      <c r="A22" s="4">
        <v>21</v>
      </c>
      <c r="B22" s="4" t="s">
        <v>43</v>
      </c>
      <c r="C22" s="4">
        <v>5.5</v>
      </c>
      <c r="D22" s="4">
        <v>5.45</v>
      </c>
      <c r="E22" s="4">
        <v>5.5</v>
      </c>
      <c r="F22" s="7">
        <f t="shared" si="7"/>
        <v>5.4833333333333334</v>
      </c>
      <c r="G22" s="6">
        <v>5.0999999999999996</v>
      </c>
      <c r="H22" s="6">
        <f t="shared" si="1"/>
        <v>0.38333333333333375</v>
      </c>
      <c r="I22" s="4">
        <v>1.29</v>
      </c>
      <c r="J22" s="4">
        <v>2.78</v>
      </c>
      <c r="K22" s="4">
        <v>2.2242000000000002</v>
      </c>
      <c r="L22" s="4">
        <f t="shared" si="6"/>
        <v>0.55579999999999963</v>
      </c>
      <c r="M22" s="4">
        <f t="shared" si="2"/>
        <v>0.93420000000000014</v>
      </c>
      <c r="N22" s="4">
        <f>'Hyprop and Ksat'!AH22</f>
        <v>112.09764238026597</v>
      </c>
      <c r="O22" s="6">
        <f>'Hyprop and Ksat'!AI22</f>
        <v>1.1322994179824846</v>
      </c>
      <c r="P22" s="6">
        <f t="shared" si="3"/>
        <v>1.1417357816188483</v>
      </c>
      <c r="Q22" s="17">
        <f t="shared" si="4"/>
        <v>6.9908814589665733E-2</v>
      </c>
      <c r="R22" s="17">
        <f t="shared" si="5"/>
        <v>7.2992421649969753E-3</v>
      </c>
    </row>
    <row r="23" spans="1:18">
      <c r="A23" s="4">
        <v>22</v>
      </c>
      <c r="B23" s="4" t="s">
        <v>45</v>
      </c>
      <c r="C23" s="4">
        <v>5.3</v>
      </c>
      <c r="D23" s="4">
        <v>5.3</v>
      </c>
      <c r="E23" s="4">
        <v>5.3</v>
      </c>
      <c r="F23" s="4">
        <f t="shared" si="7"/>
        <v>5.3</v>
      </c>
      <c r="G23" s="6">
        <v>5.0999999999999996</v>
      </c>
      <c r="H23" s="6">
        <f t="shared" si="1"/>
        <v>0.20000000000000018</v>
      </c>
      <c r="I23" s="4">
        <v>1.28</v>
      </c>
      <c r="J23" s="4">
        <v>4.03</v>
      </c>
      <c r="K23" s="4">
        <v>3.2048999999999999</v>
      </c>
      <c r="L23" s="4">
        <f t="shared" si="6"/>
        <v>0.82510000000000039</v>
      </c>
      <c r="M23" s="4">
        <f t="shared" si="2"/>
        <v>1.9248999999999998</v>
      </c>
      <c r="N23" s="4">
        <f>'Hyprop and Ksat'!AH23</f>
        <v>112.91344819372577</v>
      </c>
      <c r="O23" s="6">
        <f>'Hyprop and Ksat'!AI23</f>
        <v>1.1405398807447047</v>
      </c>
      <c r="P23" s="6">
        <f t="shared" si="3"/>
        <v>1.1599833150881391</v>
      </c>
      <c r="Q23" s="17">
        <f t="shared" si="4"/>
        <v>3.7735849056603807E-2</v>
      </c>
      <c r="R23" s="17">
        <f t="shared" si="5"/>
        <v>1.4696393092387686E-2</v>
      </c>
    </row>
    <row r="24" spans="1:18">
      <c r="A24" s="4">
        <v>23</v>
      </c>
      <c r="B24" s="4" t="s">
        <v>46</v>
      </c>
      <c r="C24" s="4">
        <v>5.5</v>
      </c>
      <c r="D24" s="4">
        <v>5.0999999999999996</v>
      </c>
      <c r="E24" s="4">
        <v>5.3</v>
      </c>
      <c r="F24" s="4">
        <f t="shared" si="7"/>
        <v>5.3</v>
      </c>
      <c r="G24" s="6">
        <v>5.0999999999999996</v>
      </c>
      <c r="H24" s="6">
        <f t="shared" si="1"/>
        <v>0.20000000000000018</v>
      </c>
      <c r="I24" s="4">
        <v>1.28</v>
      </c>
      <c r="J24" s="4">
        <v>2.17</v>
      </c>
      <c r="K24" s="4">
        <v>1.7825</v>
      </c>
      <c r="L24" s="4">
        <f t="shared" si="6"/>
        <v>0.38749999999999996</v>
      </c>
      <c r="M24" s="4">
        <f t="shared" si="2"/>
        <v>0.50249999999999995</v>
      </c>
      <c r="N24" s="4">
        <f>'Hyprop and Ksat'!AH24</f>
        <v>82.298491091949586</v>
      </c>
      <c r="O24" s="6">
        <f>'Hyprop and Ksat'!AI24</f>
        <v>0.83129788981767261</v>
      </c>
      <c r="P24" s="6">
        <f t="shared" si="3"/>
        <v>0.83637364739343012</v>
      </c>
      <c r="Q24" s="17">
        <f t="shared" si="4"/>
        <v>3.7735849056603807E-2</v>
      </c>
      <c r="R24" s="17">
        <f t="shared" si="5"/>
        <v>7.300352873085795E-3</v>
      </c>
    </row>
    <row r="25" spans="1:18">
      <c r="A25" s="4">
        <v>24</v>
      </c>
      <c r="B25" s="4" t="s">
        <v>47</v>
      </c>
      <c r="C25" s="4">
        <v>5.3</v>
      </c>
      <c r="D25" s="4">
        <v>5.0999999999999996</v>
      </c>
      <c r="E25" s="4">
        <v>5.0999999999999996</v>
      </c>
      <c r="F25" s="8">
        <f t="shared" si="7"/>
        <v>5.1666666666666661</v>
      </c>
      <c r="G25" s="6">
        <v>5.0999999999999996</v>
      </c>
      <c r="H25" s="6">
        <f t="shared" si="1"/>
        <v>6.666666666666643E-2</v>
      </c>
      <c r="I25" s="4">
        <v>1.27</v>
      </c>
      <c r="J25" s="4">
        <v>1.63</v>
      </c>
      <c r="K25" s="4">
        <v>1.4943</v>
      </c>
      <c r="L25" s="4">
        <f t="shared" si="6"/>
        <v>0.13569999999999993</v>
      </c>
      <c r="M25" s="4">
        <f t="shared" si="2"/>
        <v>0.22429999999999994</v>
      </c>
      <c r="N25" s="4">
        <f>'Hyprop and Ksat'!AH25</f>
        <v>101.686038301</v>
      </c>
      <c r="O25" s="6">
        <f>'Hyprop and Ksat'!AI25</f>
        <v>1.027131700010101</v>
      </c>
      <c r="P25" s="6">
        <f t="shared" si="3"/>
        <v>1.0293973565757575</v>
      </c>
      <c r="Q25" s="17">
        <f t="shared" si="4"/>
        <v>1.2903225806451568E-2</v>
      </c>
      <c r="R25" s="17">
        <f t="shared" si="5"/>
        <v>2.1428160833624034E-3</v>
      </c>
    </row>
    <row r="26" spans="1:18">
      <c r="A26" s="4">
        <v>25</v>
      </c>
      <c r="B26" s="4" t="s">
        <v>48</v>
      </c>
      <c r="C26" s="4">
        <v>5.5</v>
      </c>
      <c r="D26" s="4">
        <v>5.4</v>
      </c>
      <c r="E26" s="4">
        <v>5.4</v>
      </c>
      <c r="F26" s="8">
        <f t="shared" si="7"/>
        <v>5.4333333333333336</v>
      </c>
      <c r="G26" s="6">
        <v>5.0999999999999996</v>
      </c>
      <c r="H26" s="6">
        <f t="shared" si="1"/>
        <v>0.33333333333333393</v>
      </c>
      <c r="I26" s="4">
        <v>1.28</v>
      </c>
      <c r="J26" s="4">
        <v>3.39</v>
      </c>
      <c r="K26" s="4">
        <v>2.2050999999999998</v>
      </c>
      <c r="L26" s="4">
        <f t="shared" si="6"/>
        <v>1.1849000000000003</v>
      </c>
      <c r="M26" s="4">
        <f t="shared" si="2"/>
        <v>0.92509999999999981</v>
      </c>
      <c r="N26" s="4">
        <f>'Hyprop and Ksat'!AH26</f>
        <v>89.983572223772626</v>
      </c>
      <c r="O26" s="6">
        <f>'Hyprop and Ksat'!AI26</f>
        <v>0.90892497195729927</v>
      </c>
      <c r="P26" s="6">
        <f t="shared" si="3"/>
        <v>0.91826941640174375</v>
      </c>
      <c r="Q26" s="17">
        <f t="shared" si="4"/>
        <v>6.1349693251533846E-2</v>
      </c>
      <c r="R26" s="17">
        <f t="shared" si="5"/>
        <v>1.1195805133093321E-2</v>
      </c>
    </row>
    <row r="27" spans="1:18">
      <c r="A27" s="4">
        <v>26</v>
      </c>
      <c r="B27" s="4" t="s">
        <v>49</v>
      </c>
      <c r="C27" s="4">
        <v>5.6</v>
      </c>
      <c r="D27" s="4">
        <v>5.3</v>
      </c>
      <c r="E27" s="4">
        <v>5.5</v>
      </c>
      <c r="F27" s="8">
        <f t="shared" si="7"/>
        <v>5.4666666666666659</v>
      </c>
      <c r="G27" s="6">
        <v>5.0999999999999996</v>
      </c>
      <c r="H27" s="6">
        <f t="shared" si="1"/>
        <v>0.36666666666666625</v>
      </c>
      <c r="I27" s="4">
        <v>1.28</v>
      </c>
      <c r="J27" s="4">
        <v>7.18</v>
      </c>
      <c r="K27" s="4">
        <v>5.2515000000000001</v>
      </c>
      <c r="L27" s="4">
        <f t="shared" si="6"/>
        <v>1.9284999999999997</v>
      </c>
      <c r="M27" s="4">
        <f t="shared" si="2"/>
        <v>3.9714999999999998</v>
      </c>
      <c r="N27" s="4">
        <f>'Hyprop and Ksat'!AH27</f>
        <v>120.05602797596096</v>
      </c>
      <c r="O27" s="6">
        <f>'Hyprop and Ksat'!AI27</f>
        <v>1.212687151272333</v>
      </c>
      <c r="P27" s="6">
        <f t="shared" si="3"/>
        <v>1.2528033128884946</v>
      </c>
      <c r="Q27" s="17">
        <f t="shared" si="4"/>
        <v>6.7073170731707252E-2</v>
      </c>
      <c r="R27" s="17">
        <f t="shared" si="5"/>
        <v>2.6405093095166036E-2</v>
      </c>
    </row>
    <row r="28" spans="1:18">
      <c r="A28" s="4">
        <v>27</v>
      </c>
      <c r="B28" s="4" t="s">
        <v>50</v>
      </c>
      <c r="C28" s="4">
        <v>5.6</v>
      </c>
      <c r="D28" s="4">
        <v>5.5</v>
      </c>
      <c r="E28" s="4">
        <v>5.3</v>
      </c>
      <c r="F28" s="8">
        <f t="shared" si="7"/>
        <v>5.4666666666666659</v>
      </c>
      <c r="G28" s="6">
        <v>5.0999999999999996</v>
      </c>
      <c r="H28" s="6">
        <f t="shared" si="1"/>
        <v>0.36666666666666625</v>
      </c>
      <c r="I28" s="4">
        <v>1.28</v>
      </c>
      <c r="J28" s="4">
        <v>6.17</v>
      </c>
      <c r="K28" s="4">
        <v>3.4419</v>
      </c>
      <c r="L28" s="4">
        <f t="shared" si="6"/>
        <v>2.7281</v>
      </c>
      <c r="M28" s="4">
        <f t="shared" si="2"/>
        <v>2.1619000000000002</v>
      </c>
      <c r="N28" s="4">
        <f>'Hyprop and Ksat'!AH28</f>
        <v>81.714328976071911</v>
      </c>
      <c r="O28" s="6">
        <f>'Hyprop and Ksat'!AI28</f>
        <v>0.82539726238456479</v>
      </c>
      <c r="P28" s="6">
        <f t="shared" si="3"/>
        <v>0.8472346361219385</v>
      </c>
      <c r="Q28" s="17">
        <f t="shared" si="4"/>
        <v>6.7073170731707252E-2</v>
      </c>
      <c r="R28" s="17">
        <f t="shared" si="5"/>
        <v>3.1227245732021614E-2</v>
      </c>
    </row>
    <row r="29" spans="1:18">
      <c r="A29" s="4">
        <v>28</v>
      </c>
      <c r="B29" s="4" t="s">
        <v>51</v>
      </c>
      <c r="C29" s="4">
        <v>5.0999999999999996</v>
      </c>
      <c r="D29" s="4">
        <v>5.4</v>
      </c>
      <c r="E29" s="4">
        <v>5.3</v>
      </c>
      <c r="F29" s="8">
        <f t="shared" si="7"/>
        <v>5.2666666666666666</v>
      </c>
      <c r="G29" s="6">
        <v>5.0999999999999996</v>
      </c>
      <c r="H29" s="6">
        <f t="shared" si="1"/>
        <v>0.16666666666666696</v>
      </c>
      <c r="I29" s="4">
        <v>1.28</v>
      </c>
      <c r="J29" s="4">
        <v>4.58</v>
      </c>
      <c r="K29" s="4">
        <v>3.2031000000000001</v>
      </c>
      <c r="L29" s="4">
        <f t="shared" si="6"/>
        <v>1.3769</v>
      </c>
      <c r="M29" s="4">
        <f t="shared" si="2"/>
        <v>1.9231</v>
      </c>
      <c r="N29" s="4">
        <f>'Hyprop and Ksat'!AH29</f>
        <v>85.992937562807583</v>
      </c>
      <c r="O29" s="6">
        <f>'Hyprop and Ksat'!AI29</f>
        <v>0.86861553093745036</v>
      </c>
      <c r="P29" s="6">
        <f t="shared" si="3"/>
        <v>0.88804078346270288</v>
      </c>
      <c r="Q29" s="17">
        <f t="shared" si="4"/>
        <v>3.1645569620253222E-2</v>
      </c>
      <c r="R29" s="17">
        <f t="shared" si="5"/>
        <v>2.5182924975527685E-2</v>
      </c>
    </row>
    <row r="30" spans="1:18">
      <c r="A30" s="4">
        <v>29</v>
      </c>
      <c r="B30" s="4" t="s">
        <v>52</v>
      </c>
      <c r="C30" s="4">
        <v>5.8</v>
      </c>
      <c r="D30" s="4">
        <v>5.8</v>
      </c>
      <c r="E30" s="4">
        <v>5.6</v>
      </c>
      <c r="F30" s="8">
        <f t="shared" si="7"/>
        <v>5.7333333333333334</v>
      </c>
      <c r="G30" s="6">
        <v>5.0999999999999996</v>
      </c>
      <c r="H30" s="6">
        <f t="shared" si="1"/>
        <v>0.63333333333333375</v>
      </c>
      <c r="I30" s="4">
        <v>1.3</v>
      </c>
      <c r="J30" s="9">
        <v>7.77</v>
      </c>
      <c r="K30" s="4">
        <v>5.0281000000000002</v>
      </c>
      <c r="L30" s="4">
        <f t="shared" si="6"/>
        <v>2.7418999999999993</v>
      </c>
      <c r="M30" s="4">
        <f t="shared" si="2"/>
        <v>3.7281000000000004</v>
      </c>
      <c r="N30" s="4">
        <f>'Hyprop and Ksat'!AH30</f>
        <v>87.506170946018713</v>
      </c>
      <c r="O30" s="6">
        <f>'Hyprop and Ksat'!AI30</f>
        <v>0.88390071662645164</v>
      </c>
      <c r="P30" s="6">
        <f t="shared" si="3"/>
        <v>0.92155829238402742</v>
      </c>
      <c r="Q30" s="17">
        <f t="shared" si="4"/>
        <v>0.11046511627906984</v>
      </c>
      <c r="R30" s="17">
        <f t="shared" si="5"/>
        <v>4.6230230745140988E-2</v>
      </c>
    </row>
    <row r="31" spans="1:18">
      <c r="A31" s="4">
        <v>30</v>
      </c>
      <c r="B31" s="4" t="s">
        <v>53</v>
      </c>
      <c r="C31" s="4">
        <v>5.0999999999999996</v>
      </c>
      <c r="D31" s="4">
        <v>5.0999999999999996</v>
      </c>
      <c r="E31" s="4">
        <v>5.0999999999999996</v>
      </c>
      <c r="F31" s="8">
        <f t="shared" si="7"/>
        <v>5.0999999999999996</v>
      </c>
      <c r="G31" s="6">
        <v>5.0999999999999996</v>
      </c>
      <c r="H31" s="6">
        <f t="shared" si="1"/>
        <v>0</v>
      </c>
      <c r="I31" s="4">
        <v>0</v>
      </c>
      <c r="J31" s="4">
        <v>0</v>
      </c>
      <c r="K31" s="4">
        <v>0</v>
      </c>
      <c r="L31" s="4">
        <f t="shared" si="6"/>
        <v>0</v>
      </c>
      <c r="M31" s="4">
        <f t="shared" si="2"/>
        <v>0</v>
      </c>
      <c r="N31" s="4">
        <f>'Hyprop and Ksat'!AH31</f>
        <v>78.583171870559823</v>
      </c>
      <c r="O31" s="6">
        <f>'Hyprop and Ksat'!AI31</f>
        <v>0.79376941283393765</v>
      </c>
      <c r="P31" s="6">
        <f t="shared" si="3"/>
        <v>0.79376941283393765</v>
      </c>
      <c r="Q31" s="17">
        <f t="shared" si="4"/>
        <v>0</v>
      </c>
      <c r="R31" s="17">
        <f t="shared" si="5"/>
        <v>0</v>
      </c>
    </row>
    <row r="32" spans="1:18">
      <c r="A32" s="4">
        <v>31</v>
      </c>
      <c r="B32" s="4" t="s">
        <v>54</v>
      </c>
      <c r="C32" s="4">
        <v>5.5</v>
      </c>
      <c r="D32" s="4">
        <v>5.4</v>
      </c>
      <c r="E32" s="4">
        <v>5.3</v>
      </c>
      <c r="F32" s="8">
        <f t="shared" si="7"/>
        <v>5.3999999999999995</v>
      </c>
      <c r="G32" s="6">
        <v>5.0999999999999996</v>
      </c>
      <c r="H32" s="6">
        <f t="shared" si="1"/>
        <v>0.29999999999999982</v>
      </c>
      <c r="I32" s="4">
        <v>1.27</v>
      </c>
      <c r="J32" s="4">
        <v>3.03</v>
      </c>
      <c r="K32" s="4">
        <v>2.37</v>
      </c>
      <c r="L32" s="4">
        <f t="shared" si="6"/>
        <v>0.6599999999999997</v>
      </c>
      <c r="M32" s="4">
        <f t="shared" si="2"/>
        <v>1.1000000000000001</v>
      </c>
      <c r="N32" s="4">
        <f>'Hyprop and Ksat'!AH32</f>
        <v>100.1213220815593</v>
      </c>
      <c r="O32" s="6">
        <f>'Hyprop and Ksat'!AI32</f>
        <v>1.0113264856723161</v>
      </c>
      <c r="P32" s="6">
        <f t="shared" si="3"/>
        <v>1.0224375967834272</v>
      </c>
      <c r="Q32" s="17">
        <f t="shared" si="4"/>
        <v>5.5555555555555525E-2</v>
      </c>
      <c r="R32" s="17">
        <f t="shared" si="5"/>
        <v>1.0745566063811775E-2</v>
      </c>
    </row>
    <row r="33" spans="1:18">
      <c r="A33" s="4">
        <v>32</v>
      </c>
      <c r="B33" s="4" t="s">
        <v>55</v>
      </c>
      <c r="C33" s="4">
        <v>5.4</v>
      </c>
      <c r="D33" s="4">
        <v>5.0999999999999996</v>
      </c>
      <c r="E33" s="4">
        <v>5.0999999999999996</v>
      </c>
      <c r="F33" s="8">
        <f t="shared" si="7"/>
        <v>5.2</v>
      </c>
      <c r="G33" s="6">
        <v>5.0999999999999996</v>
      </c>
      <c r="H33" s="6">
        <f t="shared" si="1"/>
        <v>0.10000000000000053</v>
      </c>
      <c r="I33" s="4">
        <v>1.29</v>
      </c>
      <c r="J33" s="4">
        <v>2.73</v>
      </c>
      <c r="K33" s="4">
        <v>2.0857999999999999</v>
      </c>
      <c r="L33" s="4">
        <f t="shared" si="6"/>
        <v>0.64420000000000011</v>
      </c>
      <c r="M33" s="4">
        <f t="shared" si="2"/>
        <v>0.79579999999999984</v>
      </c>
      <c r="N33" s="4">
        <f>'Hyprop and Ksat'!AH33</f>
        <v>81.154204341114749</v>
      </c>
      <c r="O33" s="6">
        <f>'Hyprop and Ksat'!AI33</f>
        <v>0.81973943778903791</v>
      </c>
      <c r="P33" s="6">
        <f t="shared" si="3"/>
        <v>0.82777782162742175</v>
      </c>
      <c r="Q33" s="17">
        <f t="shared" si="4"/>
        <v>1.9230769230769332E-2</v>
      </c>
      <c r="R33" s="17">
        <f t="shared" si="5"/>
        <v>1.1846201738969999E-2</v>
      </c>
    </row>
    <row r="34" spans="1:18">
      <c r="A34" s="4">
        <v>33</v>
      </c>
      <c r="B34" s="4" t="s">
        <v>56</v>
      </c>
      <c r="C34" s="4">
        <v>5.4</v>
      </c>
      <c r="D34" s="4">
        <v>5.5</v>
      </c>
      <c r="E34" s="4">
        <v>5.6</v>
      </c>
      <c r="F34" s="8">
        <f t="shared" si="7"/>
        <v>5.5</v>
      </c>
      <c r="G34" s="6">
        <v>5.0999999999999996</v>
      </c>
      <c r="H34" s="6">
        <f t="shared" si="1"/>
        <v>0.40000000000000036</v>
      </c>
      <c r="I34" s="4">
        <v>1.27</v>
      </c>
      <c r="J34" s="4">
        <v>4.13</v>
      </c>
      <c r="K34" s="4">
        <v>2.6692999999999998</v>
      </c>
      <c r="L34" s="4">
        <f t="shared" si="6"/>
        <v>1.4607000000000001</v>
      </c>
      <c r="M34" s="4">
        <f t="shared" si="2"/>
        <v>1.3992999999999998</v>
      </c>
      <c r="N34" s="4">
        <f>'Hyprop and Ksat'!AH34</f>
        <v>79.730346573596023</v>
      </c>
      <c r="O34" s="6">
        <f>'Hyprop and Ksat'!AI34</f>
        <v>0.80535703609692955</v>
      </c>
      <c r="P34" s="6">
        <f t="shared" si="3"/>
        <v>0.81949137953127293</v>
      </c>
      <c r="Q34" s="17">
        <f t="shared" si="4"/>
        <v>7.2727272727272793E-2</v>
      </c>
      <c r="R34" s="17">
        <f t="shared" si="5"/>
        <v>2.1416218680590082E-2</v>
      </c>
    </row>
    <row r="35" spans="1:18">
      <c r="A35" s="4">
        <v>34</v>
      </c>
      <c r="B35" s="4" t="s">
        <v>57</v>
      </c>
      <c r="C35" s="4">
        <v>5.5</v>
      </c>
      <c r="D35" s="4">
        <v>5.3</v>
      </c>
      <c r="E35" s="4">
        <v>5.5</v>
      </c>
      <c r="F35" s="8">
        <f t="shared" si="7"/>
        <v>5.4333333333333336</v>
      </c>
      <c r="G35" s="6">
        <v>5.0999999999999996</v>
      </c>
      <c r="H35" s="6">
        <f t="shared" si="1"/>
        <v>0.33333333333333393</v>
      </c>
      <c r="I35" s="4">
        <v>1.28</v>
      </c>
      <c r="J35" s="4">
        <v>4.33</v>
      </c>
      <c r="K35" s="4">
        <v>3.2517999999999998</v>
      </c>
      <c r="L35" s="4">
        <f t="shared" si="6"/>
        <v>1.0782000000000003</v>
      </c>
      <c r="M35" s="4">
        <f t="shared" si="2"/>
        <v>1.9717999999999998</v>
      </c>
      <c r="N35" s="4">
        <f>'Hyprop and Ksat'!AH35</f>
        <v>145.17681245611715</v>
      </c>
      <c r="O35" s="6">
        <f>'Hyprop and Ksat'!AI35</f>
        <v>1.4664324490516885</v>
      </c>
      <c r="P35" s="6">
        <f t="shared" si="3"/>
        <v>1.48634962076886</v>
      </c>
      <c r="Q35" s="17">
        <f t="shared" si="4"/>
        <v>6.1349693251533846E-2</v>
      </c>
      <c r="R35" s="17">
        <f t="shared" si="5"/>
        <v>9.1378627130139414E-3</v>
      </c>
    </row>
    <row r="36" spans="1:18">
      <c r="A36" s="4">
        <v>35</v>
      </c>
      <c r="B36" s="4" t="s">
        <v>58</v>
      </c>
      <c r="C36" s="4">
        <v>5.5</v>
      </c>
      <c r="D36" s="4">
        <v>5.6</v>
      </c>
      <c r="E36" s="4">
        <v>5.6</v>
      </c>
      <c r="F36" s="8">
        <f t="shared" si="7"/>
        <v>5.5666666666666664</v>
      </c>
      <c r="G36" s="6">
        <v>5.0999999999999996</v>
      </c>
      <c r="H36" s="6">
        <f t="shared" si="1"/>
        <v>0.46666666666666679</v>
      </c>
      <c r="I36" s="4">
        <v>1.7</v>
      </c>
      <c r="J36" s="4">
        <v>13.24</v>
      </c>
      <c r="K36" s="4">
        <v>7.4772999999999996</v>
      </c>
      <c r="L36" s="4">
        <f t="shared" si="6"/>
        <v>5.7627000000000006</v>
      </c>
      <c r="M36" s="4">
        <f t="shared" si="2"/>
        <v>5.7772999999999994</v>
      </c>
      <c r="N36" s="4">
        <f>'Hyprop and Ksat'!AH36</f>
        <v>230.18956523191054</v>
      </c>
      <c r="O36" s="6">
        <f>'Hyprop and Ksat'!AI36</f>
        <v>0.92075826092764212</v>
      </c>
      <c r="P36" s="6">
        <f>(N36+M36)/250</f>
        <v>0.94386746092764218</v>
      </c>
      <c r="Q36" s="17">
        <f t="shared" si="4"/>
        <v>8.383233532934134E-2</v>
      </c>
      <c r="R36" s="17">
        <f t="shared" si="5"/>
        <v>2.6590608316465116E-2</v>
      </c>
    </row>
    <row r="37" spans="1:18">
      <c r="A37" s="4">
        <v>36</v>
      </c>
      <c r="B37" s="4" t="s">
        <v>59</v>
      </c>
      <c r="C37" s="4">
        <v>5.4</v>
      </c>
      <c r="D37" s="4">
        <v>5.3</v>
      </c>
      <c r="E37" s="4">
        <v>5.3</v>
      </c>
      <c r="F37" s="8">
        <f t="shared" si="7"/>
        <v>5.333333333333333</v>
      </c>
      <c r="G37" s="6">
        <v>5.0999999999999996</v>
      </c>
      <c r="H37" s="6">
        <f t="shared" si="1"/>
        <v>0.23333333333333339</v>
      </c>
      <c r="I37" s="4">
        <v>1.64</v>
      </c>
      <c r="J37" s="4">
        <v>3.54</v>
      </c>
      <c r="K37" s="4">
        <v>2.4731000000000001</v>
      </c>
      <c r="L37" s="4">
        <f t="shared" si="6"/>
        <v>1.0669</v>
      </c>
      <c r="M37" s="4">
        <f t="shared" si="2"/>
        <v>0.83310000000000017</v>
      </c>
      <c r="N37" s="4">
        <f>'Hyprop and Ksat'!AH37</f>
        <v>182.19633118994614</v>
      </c>
      <c r="O37" s="6">
        <f>'Hyprop and Ksat'!AI37</f>
        <v>0.72878532475978453</v>
      </c>
      <c r="P37" s="6">
        <f>(N37+M37)/250</f>
        <v>0.73211772475978454</v>
      </c>
      <c r="Q37" s="17">
        <f t="shared" si="4"/>
        <v>4.3750000000000011E-2</v>
      </c>
      <c r="R37" s="17">
        <f t="shared" si="5"/>
        <v>6.2456347910901664E-3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E2478E-1D43-4F9C-8F55-19A7DF243589}"/>
</file>

<file path=customXml/itemProps2.xml><?xml version="1.0" encoding="utf-8"?>
<ds:datastoreItem xmlns:ds="http://schemas.openxmlformats.org/officeDocument/2006/customXml" ds:itemID="{12CC1D1D-7346-471F-BCD7-56742FFC9F8A}"/>
</file>

<file path=customXml/itemProps3.xml><?xml version="1.0" encoding="utf-8"?>
<ds:datastoreItem xmlns:ds="http://schemas.openxmlformats.org/officeDocument/2006/customXml" ds:itemID="{53D524BC-6643-454A-A7F0-D79F3148A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Rod, Kenton A</dc:creator>
  <cp:keywords/>
  <dc:description/>
  <cp:lastModifiedBy>Rod, Kenton A</cp:lastModifiedBy>
  <cp:revision/>
  <dcterms:created xsi:type="dcterms:W3CDTF">2025-12-30T22:47:38Z</dcterms:created>
  <dcterms:modified xsi:type="dcterms:W3CDTF">2026-05-08T20:11:10Z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
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<sst xmlns="http://schemas.openxmlformats.org/spreadsheetml/2006/main" count="107" uniqueCount="107">
  <si>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</si>
  <si>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</si>
  <si>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</si>
  <si>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</si>
  <si>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</si>
  <si>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</si>
  <si>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</si>
  <si>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</si>
  <si>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</si>
  <si>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</si>
  <si>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</si>
  <si>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</si>
  <si>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KSAT_measurement_F2-BD-B1_001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</si>
  <si>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</si>
  <si>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</si>
  <si>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</si>
  <si>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</si>
  <si>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</si>
  <si>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</si>
  <si>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</si>
  <si>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</si>
  <si>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</si>
  <si>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</si>
  <si>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</si>
  <si>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</si>
  <si>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</si>
  <si>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</si>
  <si>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</si>
  <si>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</si>
  <si>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</si>
  <si>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</si>
  <si>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</si>
  <si>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</si>
  <si>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</si>
  <si>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</si>
  <si>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</si>
  <si>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</si>
  <si>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</si>
  <si>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</si>
  <si>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</si>
  <si>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</si>
  <si>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</si>
  <si>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</si>
  <si>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</si>
  <si>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</si>
  <si>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</si>
  <si>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</si>
  <si>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</si>
  <si>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</si>
  <si>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</si>
  <si>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</si>
  <si>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</si>
  <si>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</si>
  <si>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</si>
  <si>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</si>
  <si>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</si>
  <si>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</si>
  <si>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</si>
  <si>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</si>
  <si>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</si>
  <si>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</si>
  <si>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</si>
  <si>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</si>
  <si>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</si>
  <si>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</si>
  <si>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11/13/2025 2:53:16 PM</t>
  </si>
  <si>
    <t>Test duration</t>
  </si>
  <si>
    <t>00:29:39</t>
  </si>
  <si>
    <t>RESULT</t>
  </si>
  <si>
    <t>Use auto offset adjustment</t>
  </si>
  <si>
    <t>Max offset adjustment [cm]</t>
  </si>
  <si>
    <t>1</t>
  </si>
  <si>
    <t>Fitting Parameter a [cm]</t>
  </si>
  <si>
    <t>17</t>
  </si>
  <si>
    <t>coefficient a of the fitted exponential pressure head decrease function y = a * exp(-b*t)+c, where y is the pressure head in cm and t is time in s</t>
  </si>
  <si>
    <t>Fitting Parameter b [s-1]</t>
  </si>
  <si>
    <t>-5.03E-04</t>
  </si>
  <si>
    <t>coefficient b of the fitted exponential pressure head decrease function y = a * exp(-b*t)+c, where y is the pressure head in cm and t is time in s</t>
  </si>
  <si>
    <t>Fitting Parameter c [cm]</t>
  </si>
  <si>
    <t>-1</t>
  </si>
  <si>
    <t>coefficient c of the fitted exponential pressure head decrease function y = a * exp(-b*t)+c, where y is the pressure head in cm and t is time in s</t>
  </si>
  <si>
    <t>Fitting Parameter r2 [-]</t>
  </si>
  <si>
    <t>0.9997</t>
  </si>
  <si>
    <t>coefficient of determination of the exponential pressure head decrease function that is fitted to the observed data</t>
  </si>
  <si>
    <t>Ks Total [cm/d]</t>
  </si>
  <si>
    <t>62.158</t>
  </si>
  <si>
    <t>Saturated hydraulic conductivity [cm/d] of the entire system</t>
  </si>
  <si>
    <t>Ks Total [m/s]</t>
  </si>
  <si>
    <t>7.23E-06</t>
  </si>
  <si>
    <t>Saturated hydraulic conductivity [m/s] of the entire system</t>
  </si>
  <si>
    <t>Ks Soil [cm/d]</t>
  </si>
  <si>
    <t>51.170</t>
  </si>
  <si>
    <t>Saturated hydraulic conductivity [cm/d] of the soil sample itself</t>
  </si>
  <si>
    <t>Ks Soil [m/s]</t>
  </si>
  <si>
    <t>5.95E-06</t>
  </si>
  <si>
    <t>Saturated hydraulic conductivity [m/s] of the soil sample itself</t>
  </si>
  <si>
    <t>49.483</t>
  </si>
  <si>
    <t>Saturated hydraulic conductivity [cm/d] of the soil sample  normalized to 10 °C mean field temperature</t>
  </si>
  <si>
    <t>5.75E-06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</si>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</sst>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>
      <selection activeCell="A9" sqref="A9"/>
    </sheetView>
  </sheetViews>
  <sheetFormatPr baseColWidth="10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 t="s">
        <v>6</v>
      </c>
    </row>
    <row r="5" spans="1:2" x14ac:dyDescent="0.2">
      <c r="A5" t="s">
        <v>7</v>
      </c>
      <c r="B5" s="6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b">
        <v>0</v>
      </c>
    </row>
    <row r="17" spans="1:3" x14ac:dyDescent="0.2">
      <c r="A17" t="s">
        <v>22</v>
      </c>
    </row>
    <row r="18" spans="1:3" x14ac:dyDescent="0.2">
      <c r="A18" t="s">
        <v>23</v>
      </c>
    </row>
    <row r="19" spans="1:3" x14ac:dyDescent="0.2">
      <c r="A19" t="s">
        <v>24</v>
      </c>
      <c r="B19">
        <v>0.5</v>
      </c>
      <c r="C19" t="s">
        <v>25</v>
      </c>
    </row>
    <row r="20" spans="1:3" x14ac:dyDescent="0.2">
      <c r="A20" t="s">
        <v>26</v>
      </c>
      <c r="B20" t="s">
        <v>27</v>
      </c>
      <c r="C20" t="s">
        <v>28</v>
      </c>
    </row>
    <row r="21" spans="1:3" x14ac:dyDescent="0.2">
      <c r="A21" t="s">
        <v>29</v>
      </c>
      <c r="B21" t="s">
        <v>30</v>
      </c>
      <c r="C21" t="s">
        <v>31</v>
      </c>
    </row>
    <row r="22" spans="1:3" x14ac:dyDescent="0.2">
      <c r="A22" t="s">
        <v>32</v>
      </c>
      <c r="B22">
        <v>1</v>
      </c>
      <c r="C22" t="s">
        <v>33</v>
      </c>
    </row>
    <row r="23" spans="1:3" x14ac:dyDescent="0.2">
      <c r="A23" t="s">
        <v>34</v>
      </c>
    </row>
    <row r="24" spans="1:3" x14ac:dyDescent="0.2">
      <c r="A24" t="s">
        <v>35</v>
      </c>
      <c r="B24" t="s">
        <v>36</v>
      </c>
      <c r="C24" t="s">
        <v>37</v>
      </c>
    </row>
    <row r="25" spans="1:3" x14ac:dyDescent="0.2">
      <c r="A25" t="s">
        <v>38</v>
      </c>
      <c r="B25" t="s">
        <v>39</v>
      </c>
      <c r="C25" t="s">
        <v>40</v>
      </c>
    </row>
    <row r="26" spans="1:3" x14ac:dyDescent="0.2">
      <c r="A26" t="s">
        <v>41</v>
      </c>
      <c r="B26">
        <v>19.600000381469702</v>
      </c>
      <c r="C26" t="s">
        <v>42</v>
      </c>
    </row>
    <row r="27" spans="1:3" x14ac:dyDescent="0.2">
      <c r="A27" t="s">
        <v>43</v>
      </c>
      <c r="B27">
        <v>22.5</v>
      </c>
      <c r="C27" t="s">
        <v>44</v>
      </c>
    </row>
    <row r="28" spans="1:3" x14ac:dyDescent="0.2">
      <c r="A28" t="s">
        <v>45</v>
      </c>
      <c r="B28">
        <v>5.0999999046325701</v>
      </c>
      <c r="C28" t="s">
        <v>46</v>
      </c>
    </row>
    <row r="29" spans="1:3" x14ac:dyDescent="0.2">
      <c r="A29" t="s">
        <v>47</v>
      </c>
      <c r="B29" t="s">
        <v>48</v>
      </c>
      <c r="C29" t="s">
        <v>49</v>
      </c>
    </row>
    <row r="30" spans="1:3" x14ac:dyDescent="0.2">
      <c r="A30" t="s">
        <v>50</v>
      </c>
      <c r="B30" t="s">
        <v>51</v>
      </c>
      <c r="C30" t="s">
        <v>52</v>
      </c>
    </row>
    <row r="31" spans="1:3" x14ac:dyDescent="0.2">
      <c r="A31" t="s">
        <v>53</v>
      </c>
    </row>
    <row r="32" spans="1:3" x14ac:dyDescent="0.2">
      <c r="A32" t="s">
        <v>54</v>
      </c>
      <c r="B32">
        <v>20</v>
      </c>
      <c r="C32" t="s">
        <v>55</v>
      </c>
    </row>
    <row r="33" spans="1:3" x14ac:dyDescent="0.2">
      <c r="A33" t="s">
        <v>56</v>
      </c>
      <c r="B33">
        <v>14000</v>
      </c>
      <c r="C33" t="s">
        <v>57</v>
      </c>
    </row>
    <row r="34" spans="1:3" x14ac:dyDescent="0.2">
      <c r="A34" t="s">
        <v>58</v>
      </c>
      <c r="B34" t="b">
        <v>1</v>
      </c>
      <c r="C34" t="s">
        <v>59</v>
      </c>
    </row>
    <row r="35" spans="1:3" x14ac:dyDescent="0.2">
      <c r="A35" t="s">
        <v>60</v>
      </c>
      <c r="B35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 s="1" t="s">
        <v>65</v>
      </c>
    </row>
    <row r="38" spans="1:3" x14ac:dyDescent="0.2">
      <c r="A38" t="s">
        <v>66</v>
      </c>
      <c r="B38" s="2" t="s">
        <v>67</v>
      </c>
    </row>
    <row r="40" spans="1:3" x14ac:dyDescent="0.2">
      <c r="A40" t="s">
        <v>68</v>
      </c>
    </row>
    <row r="41" spans="1:3" x14ac:dyDescent="0.2">
      <c r="A41" t="s">
        <v>69</v>
      </c>
      <c r="B41" t="b">
        <v>1</v>
      </c>
    </row>
    <row r="42" spans="1:3" x14ac:dyDescent="0.2">
      <c r="A42" t="s">
        <v>70</v>
      </c>
      <c r="B42" t="s">
        <v>71</v>
      </c>
    </row>
    <row r="43" spans="1:3" x14ac:dyDescent="0.2">
      <c r="A43" t="s">
        <v>72</v>
      </c>
      <c r="B43" t="s">
        <v>73</v>
      </c>
      <c r="C43" t="s">
        <v>74</v>
      </c>
    </row>
    <row r="44" spans="1:3" x14ac:dyDescent="0.2">
      <c r="A44" t="s">
        <v>75</v>
      </c>
      <c r="B44" s="3" t="s">
        <v>76</v>
      </c>
      <c r="C44" s="3" t="s">
        <v>77</v>
      </c>
    </row>
    <row r="45" spans="1:3" x14ac:dyDescent="0.2">
      <c r="A45" t="s">
        <v>78</v>
      </c>
      <c r="B45" t="s">
        <v>79</v>
      </c>
      <c r="C45" t="s">
        <v>80</v>
      </c>
    </row>
    <row r="46" spans="1:3" x14ac:dyDescent="0.2">
      <c r="A46" t="s">
        <v>81</v>
      </c>
      <c r="B46" t="s">
        <v>82</v>
      </c>
      <c r="C46" t="s">
        <v>83</v>
      </c>
    </row>
    <row r="47" spans="1:3" x14ac:dyDescent="0.2">
      <c r="A47" t="s">
        <v>84</v>
      </c>
      <c r="B47" t="s">
        <v>85</v>
      </c>
      <c r="C47" t="s">
        <v>86</v>
      </c>
    </row>
    <row r="48" spans="1:3" x14ac:dyDescent="0.2">
      <c r="A48" t="s">
        <v>87</v>
      </c>
      <c r="B48" s="3" t="s">
        <v>88</v>
      </c>
      <c r="C48" s="3" t="s">
        <v>89</v>
      </c>
    </row>
    <row r="49" spans="1:6" x14ac:dyDescent="0.2">
      <c r="A49" t="s">
        <v>90</v>
      </c>
      <c r="B49" t="s">
        <v>91</v>
      </c>
      <c r="C49" t="s">
        <v>92</v>
      </c>
    </row>
    <row r="50" spans="1:6" x14ac:dyDescent="0.2">
      <c r="A50" t="s">
        <v>93</v>
      </c>
      <c r="B50" s="3" t="s">
        <v>94</v>
      </c>
      <c r="C50" s="3" t="s">
        <v>95</v>
      </c>
    </row>
    <row r="51" spans="1:6" x14ac:dyDescent="0.2">
      <c r="A51" t="str">
        <f>CONCATENATE("Ks Soil normalized at ",B32," °C [cm/d]")</f>
        <v>Ks Soil normalized at 20 °C [cm/d]</v>
      </c>
      <c r="B51" t="s">
        <v>96</v>
      </c>
      <c r="C51" t="s">
        <v>97</v>
      </c>
    </row>
    <row r="52" spans="1:6" x14ac:dyDescent="0.2">
      <c r="A52" t="str">
        <f>CONCATENATE("Ks Soil normalized at ",B32," °C [m/s]")</f>
        <v>Ks Soil normalized at 20 °C [m/s]</v>
      </c>
      <c r="B52" s="3" t="s">
        <v>98</v>
      </c>
      <c r="C52" s="3" t="s">
        <v>99</v>
      </c>
    </row>
    <row r="54" spans="1:6" x14ac:dyDescent="0.2">
      <c r="A54" t="s">
        <v>100</v>
      </c>
    </row>
    <row r="55" spans="1:6" x14ac:dyDescent="0.2">
      <c r="A55" s="1" t="s">
        <v>101</v>
      </c>
      <c r="B55" t="s">
        <v>102</v>
      </c>
      <c r="C55" t="s">
        <v>103</v>
      </c>
      <c r="D55" t="s">
        <v>104</v>
      </c>
      <c r="E55" t="s">
        <v>105</v>
      </c>
      <c r="F55" t="s">
        <v>106</v>
      </c>
    </row>
    <row r="56" spans="1:6" x14ac:dyDescent="0.2">
      <c r="A56" s="4">
        <v>45974.620327523102</v>
      </c>
      <c r="B56">
        <v>298</v>
      </c>
      <c r="C56">
        <v>0</v>
      </c>
      <c r="D56">
        <v>17.997</v>
      </c>
      <c r="E56">
        <v>17.997</v>
      </c>
      <c r="F56">
        <v>21.44</v>
      </c>
    </row>
    <row r="57" spans="1:6" x14ac:dyDescent="0.2">
      <c r="A57" s="4">
        <v>45974.620379838001</v>
      </c>
      <c r="B57">
        <v>818</v>
      </c>
      <c r="C57">
        <v>4.5199999999999996</v>
      </c>
      <c r="D57">
        <v>17.928999999999998</v>
      </c>
      <c r="E57">
        <v>17.957999999999998</v>
      </c>
      <c r="F57">
        <v>21.44</v>
      </c>
    </row>
    <row r="58" spans="1:6" x14ac:dyDescent="0.2">
      <c r="A58" s="4">
        <v>45974.620390960597</v>
      </c>
      <c r="B58">
        <v>779</v>
      </c>
      <c r="C58">
        <v>5.48</v>
      </c>
      <c r="D58">
        <v>17.914000000000001</v>
      </c>
      <c r="E58">
        <v>17.95</v>
      </c>
      <c r="F58">
        <v>21.44</v>
      </c>
    </row>
    <row r="59" spans="1:6" x14ac:dyDescent="0.2">
      <c r="A59" s="4">
        <v>45974.620515150498</v>
      </c>
      <c r="B59">
        <v>509</v>
      </c>
      <c r="C59">
        <v>16.21</v>
      </c>
      <c r="D59">
        <v>17.802</v>
      </c>
      <c r="E59">
        <v>17.859000000000002</v>
      </c>
      <c r="F59">
        <v>21.44</v>
      </c>
    </row>
    <row r="60" spans="1:6" x14ac:dyDescent="0.2">
      <c r="A60" s="4">
        <v>45974.620653402802</v>
      </c>
      <c r="B60">
        <v>454</v>
      </c>
      <c r="C60">
        <v>28.16</v>
      </c>
      <c r="D60">
        <v>17.698</v>
      </c>
      <c r="E60">
        <v>17.757999999999999</v>
      </c>
      <c r="F60">
        <v>21.44</v>
      </c>
    </row>
    <row r="61" spans="1:6" x14ac:dyDescent="0.2">
      <c r="A61" s="4">
        <v>45974.620805381899</v>
      </c>
      <c r="B61">
        <v>585</v>
      </c>
      <c r="C61">
        <v>41.29</v>
      </c>
      <c r="D61">
        <v>17.585999999999999</v>
      </c>
      <c r="E61">
        <v>17.648</v>
      </c>
      <c r="F61">
        <v>21.44</v>
      </c>
    </row>
    <row r="62" spans="1:6" x14ac:dyDescent="0.2">
      <c r="A62" s="4">
        <v>45974.620935949097</v>
      </c>
      <c r="B62">
        <v>866</v>
      </c>
      <c r="C62">
        <v>52.57</v>
      </c>
      <c r="D62">
        <v>17.472999999999999</v>
      </c>
      <c r="E62">
        <v>17.553999999999998</v>
      </c>
      <c r="F62">
        <v>21.44</v>
      </c>
    </row>
    <row r="63" spans="1:6" x14ac:dyDescent="0.2">
      <c r="A63" s="4">
        <v>45974.621065590298</v>
      </c>
      <c r="B63">
        <v>67</v>
      </c>
      <c r="C63">
        <v>63.77</v>
      </c>
      <c r="D63">
        <v>17.373000000000001</v>
      </c>
      <c r="E63">
        <v>17.460999999999999</v>
      </c>
      <c r="F63">
        <v>21.44</v>
      </c>
    </row>
    <row r="64" spans="1:6" x14ac:dyDescent="0.2">
      <c r="A64" s="4">
        <v>45974.621197430599</v>
      </c>
      <c r="B64">
        <v>458</v>
      </c>
      <c r="C64">
        <v>75.16</v>
      </c>
      <c r="D64">
        <v>17.27</v>
      </c>
      <c r="E64">
        <v>17.367000000000001</v>
      </c>
      <c r="F64">
        <v>21.44</v>
      </c>
    </row>
    <row r="65" spans="1:6" x14ac:dyDescent="0.2">
      <c r="A65" s="4">
        <v>45974.621349178196</v>
      </c>
      <c r="B65">
        <v>569</v>
      </c>
      <c r="C65">
        <v>88.27</v>
      </c>
      <c r="D65">
        <v>17.164999999999999</v>
      </c>
      <c r="E65">
        <v>17.259</v>
      </c>
      <c r="F65">
        <v>21.44</v>
      </c>
    </row>
    <row r="66" spans="1:6" x14ac:dyDescent="0.2">
      <c r="A66" s="4">
        <v>45974.621488553203</v>
      </c>
      <c r="B66">
        <v>611</v>
      </c>
      <c r="C66">
        <v>100.31</v>
      </c>
      <c r="D66">
        <v>17.061</v>
      </c>
      <c r="E66">
        <v>17.161000000000001</v>
      </c>
      <c r="F66">
        <v>21.44</v>
      </c>
    </row>
    <row r="67" spans="1:6" x14ac:dyDescent="0.2">
      <c r="A67" s="4">
        <v>45974.621629895802</v>
      </c>
      <c r="B67">
        <v>823</v>
      </c>
      <c r="C67">
        <v>112.53</v>
      </c>
      <c r="D67">
        <v>16.951000000000001</v>
      </c>
      <c r="E67">
        <v>17.062000000000001</v>
      </c>
      <c r="F67">
        <v>21.44</v>
      </c>
    </row>
    <row r="68" spans="1:6" x14ac:dyDescent="0.2">
      <c r="A68" s="4">
        <v>45974.6217701852</v>
      </c>
      <c r="B68">
        <v>944</v>
      </c>
      <c r="C68">
        <v>124.65</v>
      </c>
      <c r="D68">
        <v>16.847999999999999</v>
      </c>
      <c r="E68">
        <v>16.965</v>
      </c>
      <c r="F68">
        <v>21.44</v>
      </c>
    </row>
    <row r="69" spans="1:6" x14ac:dyDescent="0.2">
      <c r="A69" s="4">
        <v>45974.621910775502</v>
      </c>
      <c r="B69">
        <v>91</v>
      </c>
      <c r="C69">
        <v>136.79</v>
      </c>
      <c r="D69">
        <v>16.745999999999999</v>
      </c>
      <c r="E69">
        <v>16.867000000000001</v>
      </c>
      <c r="F69">
        <v>21.44</v>
      </c>
    </row>
    <row r="70" spans="1:6" x14ac:dyDescent="0.2">
      <c r="A70" s="4">
        <v>45974.622063009301</v>
      </c>
      <c r="B70">
        <v>244</v>
      </c>
      <c r="C70">
        <v>149.94999999999999</v>
      </c>
      <c r="D70">
        <v>16.64</v>
      </c>
      <c r="E70">
        <v>16.763000000000002</v>
      </c>
      <c r="F70">
        <v>21.44</v>
      </c>
    </row>
    <row r="71" spans="1:6" x14ac:dyDescent="0.2">
      <c r="A71" s="4">
        <v>45974.622214768497</v>
      </c>
      <c r="B71">
        <v>356</v>
      </c>
      <c r="C71">
        <v>163.06</v>
      </c>
      <c r="D71">
        <v>16.532</v>
      </c>
      <c r="E71">
        <v>16.658999999999999</v>
      </c>
      <c r="F71">
        <v>21.44</v>
      </c>
    </row>
    <row r="72" spans="1:6" x14ac:dyDescent="0.2">
      <c r="A72" s="4">
        <v>45974.622355763902</v>
      </c>
      <c r="B72">
        <v>538</v>
      </c>
      <c r="C72">
        <v>175.24</v>
      </c>
      <c r="D72">
        <v>16.427</v>
      </c>
      <c r="E72">
        <v>16.564</v>
      </c>
      <c r="F72">
        <v>21.43</v>
      </c>
    </row>
    <row r="73" spans="1:6" x14ac:dyDescent="0.2">
      <c r="A73" s="4">
        <v>45974.622474305601</v>
      </c>
      <c r="B73">
        <v>780</v>
      </c>
      <c r="C73">
        <v>185.48</v>
      </c>
      <c r="D73">
        <v>16.326000000000001</v>
      </c>
      <c r="E73">
        <v>16.484000000000002</v>
      </c>
      <c r="F73">
        <v>21.43</v>
      </c>
    </row>
    <row r="74" spans="1:6" x14ac:dyDescent="0.2">
      <c r="A74" s="4">
        <v>45974.6226570949</v>
      </c>
      <c r="B74">
        <v>573</v>
      </c>
      <c r="C74">
        <v>201.28</v>
      </c>
      <c r="D74">
        <v>16.216000000000001</v>
      </c>
      <c r="E74">
        <v>16.361000000000001</v>
      </c>
      <c r="F74">
        <v>21.44</v>
      </c>
    </row>
    <row r="75" spans="1:6" x14ac:dyDescent="0.2">
      <c r="A75" s="4">
        <v>45974.622796817101</v>
      </c>
      <c r="B75">
        <v>645</v>
      </c>
      <c r="C75">
        <v>213.35</v>
      </c>
      <c r="D75">
        <v>16.116</v>
      </c>
      <c r="E75">
        <v>16.268000000000001</v>
      </c>
      <c r="F75">
        <v>21.43</v>
      </c>
    </row>
    <row r="76" spans="1:6" x14ac:dyDescent="0.2">
      <c r="A76" s="4">
        <v>45974.622948576398</v>
      </c>
      <c r="B76">
        <v>757</v>
      </c>
      <c r="C76">
        <v>226.46</v>
      </c>
      <c r="D76">
        <v>16.015000000000001</v>
      </c>
      <c r="E76">
        <v>16.167999999999999</v>
      </c>
      <c r="F76">
        <v>21.43</v>
      </c>
    </row>
    <row r="77" spans="1:6" x14ac:dyDescent="0.2">
      <c r="A77" s="4">
        <v>45974.623098796299</v>
      </c>
      <c r="B77">
        <v>736</v>
      </c>
      <c r="C77">
        <v>239.44</v>
      </c>
      <c r="D77">
        <v>15.909000000000001</v>
      </c>
      <c r="E77">
        <v>16.068999999999999</v>
      </c>
      <c r="F77">
        <v>21.43</v>
      </c>
    </row>
    <row r="78" spans="1:6" x14ac:dyDescent="0.2">
      <c r="A78" s="4">
        <v>45974.623249525503</v>
      </c>
      <c r="B78">
        <v>759</v>
      </c>
      <c r="C78">
        <v>252.46</v>
      </c>
      <c r="D78">
        <v>15.805</v>
      </c>
      <c r="E78">
        <v>15.971</v>
      </c>
      <c r="F78">
        <v>21.43</v>
      </c>
    </row>
    <row r="79" spans="1:6" x14ac:dyDescent="0.2">
      <c r="A79" s="4">
        <v>45974.623422928198</v>
      </c>
      <c r="B79">
        <v>741</v>
      </c>
      <c r="C79">
        <v>267.44</v>
      </c>
      <c r="D79">
        <v>15.701000000000001</v>
      </c>
      <c r="E79">
        <v>15.859</v>
      </c>
      <c r="F79">
        <v>21.43</v>
      </c>
    </row>
    <row r="80" spans="1:6" x14ac:dyDescent="0.2">
      <c r="A80" s="4">
        <v>45974.623563911999</v>
      </c>
      <c r="B80">
        <v>922</v>
      </c>
      <c r="C80">
        <v>279.62</v>
      </c>
      <c r="D80">
        <v>15.6</v>
      </c>
      <c r="E80">
        <v>15.768000000000001</v>
      </c>
      <c r="F80">
        <v>21.43</v>
      </c>
    </row>
    <row r="81" spans="1:6" x14ac:dyDescent="0.2">
      <c r="A81" s="4">
        <v>45974.623735914298</v>
      </c>
      <c r="B81">
        <v>783</v>
      </c>
      <c r="C81">
        <v>294.48</v>
      </c>
      <c r="D81">
        <v>15.491</v>
      </c>
      <c r="E81">
        <v>15.657999999999999</v>
      </c>
      <c r="F81">
        <v>21.43</v>
      </c>
    </row>
    <row r="82" spans="1:6" x14ac:dyDescent="0.2">
      <c r="A82" s="4">
        <v>45974.623909305599</v>
      </c>
      <c r="B82">
        <v>764</v>
      </c>
      <c r="C82">
        <v>309.47000000000003</v>
      </c>
      <c r="D82">
        <v>15.385999999999999</v>
      </c>
      <c r="E82">
        <v>15.548</v>
      </c>
      <c r="F82">
        <v>21.43</v>
      </c>
    </row>
    <row r="83" spans="1:6" x14ac:dyDescent="0.2">
      <c r="A83" s="4">
        <v>45974.624059560199</v>
      </c>
      <c r="B83">
        <v>746</v>
      </c>
      <c r="C83">
        <v>322.45</v>
      </c>
      <c r="D83">
        <v>15.275</v>
      </c>
      <c r="E83">
        <v>15.454000000000001</v>
      </c>
      <c r="F83">
        <v>21.43</v>
      </c>
    </row>
    <row r="84" spans="1:6" x14ac:dyDescent="0.2">
      <c r="A84" s="4">
        <v>45974.624243622697</v>
      </c>
      <c r="B84">
        <v>649</v>
      </c>
      <c r="C84">
        <v>338.35</v>
      </c>
      <c r="D84">
        <v>15.166</v>
      </c>
      <c r="E84">
        <v>15.337999999999999</v>
      </c>
      <c r="F84">
        <v>21.43</v>
      </c>
    </row>
    <row r="85" spans="1:6" x14ac:dyDescent="0.2">
      <c r="A85" s="4">
        <v>45974.624393692102</v>
      </c>
      <c r="B85">
        <v>615</v>
      </c>
      <c r="C85">
        <v>351.32</v>
      </c>
      <c r="D85">
        <v>15.064</v>
      </c>
      <c r="E85">
        <v>15.244999999999999</v>
      </c>
      <c r="F85">
        <v>21.43</v>
      </c>
    </row>
    <row r="86" spans="1:6" x14ac:dyDescent="0.2">
      <c r="A86" s="4">
        <v>45974.624566967599</v>
      </c>
      <c r="B86">
        <v>586</v>
      </c>
      <c r="C86">
        <v>366.29</v>
      </c>
      <c r="D86">
        <v>14.959</v>
      </c>
      <c r="E86">
        <v>15.138</v>
      </c>
      <c r="F86">
        <v>21.43</v>
      </c>
    </row>
    <row r="87" spans="1:6" x14ac:dyDescent="0.2">
      <c r="A87" s="4">
        <v>45974.624750729199</v>
      </c>
      <c r="B87">
        <v>463</v>
      </c>
      <c r="C87">
        <v>382.17</v>
      </c>
      <c r="D87">
        <v>14.856999999999999</v>
      </c>
      <c r="E87">
        <v>15.026</v>
      </c>
      <c r="F87">
        <v>21.43</v>
      </c>
    </row>
    <row r="88" spans="1:6" x14ac:dyDescent="0.2">
      <c r="A88" s="4">
        <v>45974.624912662002</v>
      </c>
      <c r="B88">
        <v>454</v>
      </c>
      <c r="C88">
        <v>396.16</v>
      </c>
      <c r="D88">
        <v>14.757</v>
      </c>
      <c r="E88">
        <v>14.928000000000001</v>
      </c>
      <c r="F88">
        <v>21.43</v>
      </c>
    </row>
    <row r="89" spans="1:6" x14ac:dyDescent="0.2">
      <c r="A89" s="4">
        <v>45974.625085960703</v>
      </c>
      <c r="B89">
        <v>427</v>
      </c>
      <c r="C89">
        <v>411.13</v>
      </c>
      <c r="D89">
        <v>14.657</v>
      </c>
      <c r="E89">
        <v>14.823</v>
      </c>
      <c r="F89">
        <v>21.43</v>
      </c>
    </row>
    <row r="90" spans="1:6" x14ac:dyDescent="0.2">
      <c r="A90" s="4">
        <v>45974.625258217602</v>
      </c>
      <c r="B90">
        <v>310</v>
      </c>
      <c r="C90">
        <v>426.01</v>
      </c>
      <c r="D90">
        <v>14.552</v>
      </c>
      <c r="E90">
        <v>14.72</v>
      </c>
      <c r="F90">
        <v>21.43</v>
      </c>
    </row>
    <row r="91" spans="1:6" x14ac:dyDescent="0.2">
      <c r="A91" s="4">
        <v>45974.625441064803</v>
      </c>
      <c r="B91">
        <v>108</v>
      </c>
      <c r="C91">
        <v>441.81</v>
      </c>
      <c r="D91">
        <v>14.452</v>
      </c>
      <c r="E91">
        <v>14.612</v>
      </c>
      <c r="F91">
        <v>21.43</v>
      </c>
    </row>
    <row r="92" spans="1:6" x14ac:dyDescent="0.2">
      <c r="A92" s="4">
        <v>45974.625605196801</v>
      </c>
      <c r="B92">
        <v>289</v>
      </c>
      <c r="C92">
        <v>455.99</v>
      </c>
      <c r="D92">
        <v>14.349</v>
      </c>
      <c r="E92">
        <v>14.515000000000001</v>
      </c>
      <c r="F92">
        <v>21.43</v>
      </c>
    </row>
    <row r="93" spans="1:6" x14ac:dyDescent="0.2">
      <c r="A93" s="4">
        <v>45974.625777673602</v>
      </c>
      <c r="B93">
        <v>191</v>
      </c>
      <c r="C93">
        <v>470.89</v>
      </c>
      <c r="D93">
        <v>14.242000000000001</v>
      </c>
      <c r="E93">
        <v>14.414</v>
      </c>
      <c r="F93">
        <v>21.43</v>
      </c>
    </row>
    <row r="94" spans="1:6" x14ac:dyDescent="0.2">
      <c r="A94" s="4">
        <v>45974.625973009301</v>
      </c>
      <c r="B94">
        <v>68</v>
      </c>
      <c r="C94">
        <v>487.77</v>
      </c>
      <c r="D94">
        <v>14.14</v>
      </c>
      <c r="E94">
        <v>14.301</v>
      </c>
      <c r="F94">
        <v>21.43</v>
      </c>
    </row>
    <row r="95" spans="1:6" x14ac:dyDescent="0.2">
      <c r="A95" s="4">
        <v>45974.626145717601</v>
      </c>
      <c r="B95">
        <v>990</v>
      </c>
      <c r="C95">
        <v>502.69</v>
      </c>
      <c r="D95">
        <v>14.039</v>
      </c>
      <c r="E95">
        <v>14.201000000000001</v>
      </c>
      <c r="F95">
        <v>21.43</v>
      </c>
    </row>
    <row r="96" spans="1:6" x14ac:dyDescent="0.2">
      <c r="A96" s="4">
        <v>45974.626318888899</v>
      </c>
      <c r="B96">
        <v>952</v>
      </c>
      <c r="C96">
        <v>517.65</v>
      </c>
      <c r="D96">
        <v>13.936</v>
      </c>
      <c r="E96">
        <v>14.103</v>
      </c>
      <c r="F96">
        <v>21.42</v>
      </c>
    </row>
    <row r="97" spans="1:6" x14ac:dyDescent="0.2">
      <c r="A97" s="4">
        <v>45974.626525057902</v>
      </c>
      <c r="B97">
        <v>765</v>
      </c>
      <c r="C97">
        <v>535.47</v>
      </c>
      <c r="D97">
        <v>13.833</v>
      </c>
      <c r="E97">
        <v>13.986000000000001</v>
      </c>
      <c r="F97">
        <v>21.43</v>
      </c>
    </row>
    <row r="98" spans="1:6" x14ac:dyDescent="0.2">
      <c r="A98" s="4">
        <v>45974.626708993099</v>
      </c>
      <c r="B98">
        <v>657</v>
      </c>
      <c r="C98">
        <v>551.36</v>
      </c>
      <c r="D98">
        <v>13.726000000000001</v>
      </c>
      <c r="E98">
        <v>13.882</v>
      </c>
      <c r="F98">
        <v>21.42</v>
      </c>
    </row>
    <row r="99" spans="1:6" x14ac:dyDescent="0.2">
      <c r="A99" s="4">
        <v>45974.626904386598</v>
      </c>
      <c r="B99">
        <v>539</v>
      </c>
      <c r="C99">
        <v>568.24</v>
      </c>
      <c r="D99">
        <v>13.621</v>
      </c>
      <c r="E99">
        <v>13.773999999999999</v>
      </c>
      <c r="F99">
        <v>21.42</v>
      </c>
    </row>
    <row r="100" spans="1:6" x14ac:dyDescent="0.2">
      <c r="A100" s="4">
        <v>45974.627078136597</v>
      </c>
      <c r="B100">
        <v>551</v>
      </c>
      <c r="C100">
        <v>583.25</v>
      </c>
      <c r="D100">
        <v>13.516999999999999</v>
      </c>
      <c r="E100">
        <v>13.677</v>
      </c>
      <c r="F100">
        <v>21.42</v>
      </c>
    </row>
    <row r="101" spans="1:6" x14ac:dyDescent="0.2">
      <c r="A101" s="4">
        <v>45974.627273564802</v>
      </c>
      <c r="B101">
        <v>436</v>
      </c>
      <c r="C101">
        <v>600.14</v>
      </c>
      <c r="D101">
        <v>13.414</v>
      </c>
      <c r="E101">
        <v>13.57</v>
      </c>
      <c r="F101">
        <v>21.42</v>
      </c>
    </row>
    <row r="102" spans="1:6" x14ac:dyDescent="0.2">
      <c r="A102" s="4">
        <v>45974.627457499999</v>
      </c>
      <c r="B102">
        <v>328</v>
      </c>
      <c r="C102">
        <v>616.03</v>
      </c>
      <c r="D102">
        <v>13.313000000000001</v>
      </c>
      <c r="E102">
        <v>13.47</v>
      </c>
      <c r="F102">
        <v>21.42</v>
      </c>
    </row>
    <row r="103" spans="1:6" x14ac:dyDescent="0.2">
      <c r="A103" s="4">
        <v>45974.6276619329</v>
      </c>
      <c r="B103">
        <v>991</v>
      </c>
      <c r="C103">
        <v>633.69000000000005</v>
      </c>
      <c r="D103">
        <v>13.205</v>
      </c>
      <c r="E103">
        <v>13.36</v>
      </c>
      <c r="F103">
        <v>21.43</v>
      </c>
    </row>
    <row r="104" spans="1:6" x14ac:dyDescent="0.2">
      <c r="A104" s="4">
        <v>45974.627855995401</v>
      </c>
      <c r="B104">
        <v>758</v>
      </c>
      <c r="C104">
        <v>650.46</v>
      </c>
      <c r="D104">
        <v>13.103</v>
      </c>
      <c r="E104">
        <v>13.256</v>
      </c>
      <c r="F104">
        <v>21.42</v>
      </c>
    </row>
    <row r="105" spans="1:6" x14ac:dyDescent="0.2">
      <c r="A105" s="4">
        <v>45974.6280622454</v>
      </c>
      <c r="B105">
        <v>578</v>
      </c>
      <c r="C105">
        <v>668.28</v>
      </c>
      <c r="D105">
        <v>13.002000000000001</v>
      </c>
      <c r="E105">
        <v>13.147</v>
      </c>
      <c r="F105">
        <v>21.42</v>
      </c>
    </row>
    <row r="106" spans="1:6" x14ac:dyDescent="0.2">
      <c r="A106" s="4">
        <v>45974.628246041699</v>
      </c>
      <c r="B106">
        <v>458</v>
      </c>
      <c r="C106">
        <v>684.16</v>
      </c>
      <c r="D106">
        <v>12.898999999999999</v>
      </c>
      <c r="E106">
        <v>13.05</v>
      </c>
      <c r="F106">
        <v>21.42</v>
      </c>
    </row>
    <row r="107" spans="1:6" x14ac:dyDescent="0.2">
      <c r="A107" s="4">
        <v>45974.6284180324</v>
      </c>
      <c r="B107">
        <v>318</v>
      </c>
      <c r="C107">
        <v>699.02</v>
      </c>
      <c r="D107">
        <v>12.798</v>
      </c>
      <c r="E107">
        <v>12.961</v>
      </c>
      <c r="F107">
        <v>21.42</v>
      </c>
    </row>
    <row r="108" spans="1:6" x14ac:dyDescent="0.2">
      <c r="A108" s="4">
        <v>45974.628656250003</v>
      </c>
      <c r="B108">
        <v>900</v>
      </c>
      <c r="C108">
        <v>719.6</v>
      </c>
      <c r="D108">
        <v>12.698</v>
      </c>
      <c r="E108">
        <v>12.837999999999999</v>
      </c>
      <c r="F108">
        <v>21.42</v>
      </c>
    </row>
    <row r="109" spans="1:6" x14ac:dyDescent="0.2">
      <c r="A109" s="4">
        <v>45974.628861944402</v>
      </c>
      <c r="B109">
        <v>672</v>
      </c>
      <c r="C109">
        <v>737.37</v>
      </c>
      <c r="D109">
        <v>12.587999999999999</v>
      </c>
      <c r="E109">
        <v>12.731999999999999</v>
      </c>
      <c r="F109">
        <v>21.42</v>
      </c>
    </row>
    <row r="110" spans="1:6" x14ac:dyDescent="0.2">
      <c r="A110" s="4">
        <v>45974.629078854203</v>
      </c>
      <c r="B110">
        <v>413</v>
      </c>
      <c r="C110">
        <v>756.12</v>
      </c>
      <c r="D110">
        <v>12.484999999999999</v>
      </c>
      <c r="E110">
        <v>12.622</v>
      </c>
      <c r="F110">
        <v>21.42</v>
      </c>
    </row>
    <row r="111" spans="1:6" x14ac:dyDescent="0.2">
      <c r="A111" s="4">
        <v>45974.629284085597</v>
      </c>
      <c r="B111">
        <v>145</v>
      </c>
      <c r="C111">
        <v>773.85</v>
      </c>
      <c r="D111">
        <v>12.378</v>
      </c>
      <c r="E111">
        <v>12.519</v>
      </c>
      <c r="F111">
        <v>21.42</v>
      </c>
    </row>
    <row r="112" spans="1:6" x14ac:dyDescent="0.2">
      <c r="A112" s="4">
        <v>45974.629490104198</v>
      </c>
      <c r="B112">
        <v>945</v>
      </c>
      <c r="C112">
        <v>791.65</v>
      </c>
      <c r="D112">
        <v>12.278</v>
      </c>
      <c r="E112">
        <v>12.417</v>
      </c>
      <c r="F112">
        <v>21.42</v>
      </c>
    </row>
    <row r="113" spans="1:6" x14ac:dyDescent="0.2">
      <c r="A113" s="4">
        <v>45974.629718356497</v>
      </c>
      <c r="B113">
        <v>666</v>
      </c>
      <c r="C113">
        <v>811.37</v>
      </c>
      <c r="D113">
        <v>12.176</v>
      </c>
      <c r="E113">
        <v>12.304</v>
      </c>
      <c r="F113">
        <v>21.42</v>
      </c>
    </row>
    <row r="114" spans="1:6" x14ac:dyDescent="0.2">
      <c r="A114" s="4">
        <v>45974.629902627297</v>
      </c>
      <c r="B114">
        <v>587</v>
      </c>
      <c r="C114">
        <v>827.29</v>
      </c>
      <c r="D114">
        <v>12.067</v>
      </c>
      <c r="E114">
        <v>12.214</v>
      </c>
      <c r="F114">
        <v>21.42</v>
      </c>
    </row>
    <row r="115" spans="1:6" x14ac:dyDescent="0.2">
      <c r="A115" s="4">
        <v>45974.6301303125</v>
      </c>
      <c r="B115">
        <v>259</v>
      </c>
      <c r="C115">
        <v>846.96</v>
      </c>
      <c r="D115">
        <v>11.962999999999999</v>
      </c>
      <c r="E115">
        <v>12.103</v>
      </c>
      <c r="F115">
        <v>21.42</v>
      </c>
    </row>
    <row r="116" spans="1:6" x14ac:dyDescent="0.2">
      <c r="A116" s="4">
        <v>45974.630335300899</v>
      </c>
      <c r="B116">
        <v>970</v>
      </c>
      <c r="C116">
        <v>864.67</v>
      </c>
      <c r="D116">
        <v>11.86</v>
      </c>
      <c r="E116">
        <v>12.005000000000001</v>
      </c>
      <c r="F116">
        <v>21.42</v>
      </c>
    </row>
    <row r="117" spans="1:6" x14ac:dyDescent="0.2">
      <c r="A117" s="4">
        <v>45974.630551759299</v>
      </c>
      <c r="B117">
        <v>672</v>
      </c>
      <c r="C117">
        <v>883.37</v>
      </c>
      <c r="D117">
        <v>11.757999999999999</v>
      </c>
      <c r="E117">
        <v>11.901999999999999</v>
      </c>
      <c r="F117">
        <v>21.42</v>
      </c>
    </row>
    <row r="118" spans="1:6" x14ac:dyDescent="0.2">
      <c r="A118" s="4">
        <v>45974.630768229203</v>
      </c>
      <c r="B118">
        <v>375</v>
      </c>
      <c r="C118">
        <v>902.08</v>
      </c>
      <c r="D118">
        <v>11.657999999999999</v>
      </c>
      <c r="E118">
        <v>11.8</v>
      </c>
      <c r="F118">
        <v>21.42</v>
      </c>
    </row>
    <row r="119" spans="1:6" x14ac:dyDescent="0.2">
      <c r="A119" s="4">
        <v>45974.630995798601</v>
      </c>
      <c r="B119">
        <v>37</v>
      </c>
      <c r="C119">
        <v>921.74</v>
      </c>
      <c r="D119">
        <v>11.555</v>
      </c>
      <c r="E119">
        <v>11.694000000000001</v>
      </c>
      <c r="F119">
        <v>21.42</v>
      </c>
    </row>
    <row r="120" spans="1:6" x14ac:dyDescent="0.2">
      <c r="A120" s="4">
        <v>45974.631199861098</v>
      </c>
      <c r="B120">
        <v>668</v>
      </c>
      <c r="C120">
        <v>939.37</v>
      </c>
      <c r="D120">
        <v>11.452</v>
      </c>
      <c r="E120">
        <v>11.599</v>
      </c>
      <c r="F120">
        <v>21.42</v>
      </c>
    </row>
    <row r="121" spans="1:6" x14ac:dyDescent="0.2">
      <c r="A121" s="4">
        <v>45974.631437847202</v>
      </c>
      <c r="B121">
        <v>230</v>
      </c>
      <c r="C121">
        <v>959.93</v>
      </c>
      <c r="D121">
        <v>11.351000000000001</v>
      </c>
      <c r="E121">
        <v>11.49</v>
      </c>
      <c r="F121">
        <v>21.42</v>
      </c>
    </row>
    <row r="122" spans="1:6" x14ac:dyDescent="0.2">
      <c r="A122" s="4">
        <v>45974.631676411998</v>
      </c>
      <c r="B122">
        <v>842</v>
      </c>
      <c r="C122">
        <v>980.54</v>
      </c>
      <c r="D122">
        <v>11.247999999999999</v>
      </c>
      <c r="E122">
        <v>11.382</v>
      </c>
      <c r="F122">
        <v>21.42</v>
      </c>
    </row>
    <row r="123" spans="1:6" x14ac:dyDescent="0.2">
      <c r="A123" s="4">
        <v>45974.631892523103</v>
      </c>
      <c r="B123">
        <v>514</v>
      </c>
      <c r="C123">
        <v>999.22</v>
      </c>
      <c r="D123">
        <v>11.147</v>
      </c>
      <c r="E123">
        <v>11.285</v>
      </c>
      <c r="F123">
        <v>21.42</v>
      </c>
    </row>
    <row r="124" spans="1:6" x14ac:dyDescent="0.2">
      <c r="A124" s="4">
        <v>45974.632118588001</v>
      </c>
      <c r="B124">
        <v>46</v>
      </c>
      <c r="C124">
        <v>1018.75</v>
      </c>
      <c r="D124">
        <v>11.045</v>
      </c>
      <c r="E124">
        <v>11.185</v>
      </c>
      <c r="F124">
        <v>21.42</v>
      </c>
    </row>
    <row r="125" spans="1:6" x14ac:dyDescent="0.2">
      <c r="A125" s="4">
        <v>45974.632334699098</v>
      </c>
      <c r="B125">
        <v>718</v>
      </c>
      <c r="C125">
        <v>1037.42</v>
      </c>
      <c r="D125">
        <v>10.943</v>
      </c>
      <c r="E125">
        <v>11.09</v>
      </c>
      <c r="F125">
        <v>21.42</v>
      </c>
    </row>
    <row r="126" spans="1:6" x14ac:dyDescent="0.2">
      <c r="A126" s="4">
        <v>45974.6325619907</v>
      </c>
      <c r="B126">
        <v>356</v>
      </c>
      <c r="C126">
        <v>1057.06</v>
      </c>
      <c r="D126">
        <v>10.840999999999999</v>
      </c>
      <c r="E126">
        <v>10.991</v>
      </c>
      <c r="F126">
        <v>21.41</v>
      </c>
    </row>
    <row r="127" spans="1:6" x14ac:dyDescent="0.2">
      <c r="A127" s="4">
        <v>45974.632842650499</v>
      </c>
      <c r="B127">
        <v>605</v>
      </c>
      <c r="C127">
        <v>1081.31</v>
      </c>
      <c r="D127">
        <v>10.73</v>
      </c>
      <c r="E127">
        <v>10.869</v>
      </c>
      <c r="F127">
        <v>21.42</v>
      </c>
    </row>
    <row r="128" spans="1:6" x14ac:dyDescent="0.2">
      <c r="A128" s="4">
        <v>45974.633048368101</v>
      </c>
      <c r="B128">
        <v>379</v>
      </c>
      <c r="C128">
        <v>1099.08</v>
      </c>
      <c r="D128">
        <v>10.629</v>
      </c>
      <c r="E128">
        <v>10.782</v>
      </c>
      <c r="F128">
        <v>21.41</v>
      </c>
    </row>
    <row r="129" spans="1:6" x14ac:dyDescent="0.2">
      <c r="A129" s="4">
        <v>45974.6333192245</v>
      </c>
      <c r="B129">
        <v>781</v>
      </c>
      <c r="C129">
        <v>1122.48</v>
      </c>
      <c r="D129">
        <v>10.528</v>
      </c>
      <c r="E129">
        <v>10.667</v>
      </c>
      <c r="F129">
        <v>21.41</v>
      </c>
    </row>
    <row r="130" spans="1:6" x14ac:dyDescent="0.2">
      <c r="A130" s="4">
        <v>45974.633579560199</v>
      </c>
      <c r="B130">
        <v>274</v>
      </c>
      <c r="C130">
        <v>1144.98</v>
      </c>
      <c r="D130">
        <v>10.423999999999999</v>
      </c>
      <c r="E130">
        <v>10.558999999999999</v>
      </c>
      <c r="F130">
        <v>21.41</v>
      </c>
    </row>
    <row r="131" spans="1:6" x14ac:dyDescent="0.2">
      <c r="A131" s="4">
        <v>45974.6338603935</v>
      </c>
      <c r="B131">
        <v>538</v>
      </c>
      <c r="C131">
        <v>1169.24</v>
      </c>
      <c r="D131">
        <v>10.321</v>
      </c>
      <c r="E131">
        <v>10.443</v>
      </c>
      <c r="F131">
        <v>21.41</v>
      </c>
    </row>
    <row r="132" spans="1:6" x14ac:dyDescent="0.2">
      <c r="A132" s="4">
        <v>45974.634131134299</v>
      </c>
      <c r="B132">
        <v>930</v>
      </c>
      <c r="C132">
        <v>1192.6300000000001</v>
      </c>
      <c r="D132">
        <v>10.215999999999999</v>
      </c>
      <c r="E132">
        <v>10.332000000000001</v>
      </c>
      <c r="F132">
        <v>21.41</v>
      </c>
    </row>
    <row r="133" spans="1:6" x14ac:dyDescent="0.2">
      <c r="A133" s="4">
        <v>45974.634434629603</v>
      </c>
      <c r="B133">
        <v>152</v>
      </c>
      <c r="C133">
        <v>1218.8499999999999</v>
      </c>
      <c r="D133">
        <v>10.115</v>
      </c>
      <c r="E133">
        <v>10.210000000000001</v>
      </c>
      <c r="F133">
        <v>21.41</v>
      </c>
    </row>
    <row r="134" spans="1:6" x14ac:dyDescent="0.2">
      <c r="A134" s="4">
        <v>45974.634715370397</v>
      </c>
      <c r="B134">
        <v>408</v>
      </c>
      <c r="C134">
        <v>1243.1099999999999</v>
      </c>
      <c r="D134">
        <v>10.012</v>
      </c>
      <c r="E134">
        <v>10.098000000000001</v>
      </c>
      <c r="F134">
        <v>21.41</v>
      </c>
    </row>
    <row r="135" spans="1:6" x14ac:dyDescent="0.2">
      <c r="A135" s="4">
        <v>45974.634986377299</v>
      </c>
      <c r="B135">
        <v>823</v>
      </c>
      <c r="C135">
        <v>1266.53</v>
      </c>
      <c r="D135">
        <v>9.9079999999999995</v>
      </c>
      <c r="E135">
        <v>9.9920000000000009</v>
      </c>
      <c r="F135">
        <v>21.41</v>
      </c>
    </row>
    <row r="136" spans="1:6" x14ac:dyDescent="0.2">
      <c r="A136" s="4">
        <v>45974.635280370399</v>
      </c>
      <c r="B136">
        <v>224</v>
      </c>
      <c r="C136">
        <v>1291.93</v>
      </c>
      <c r="D136">
        <v>9.8049999999999997</v>
      </c>
      <c r="E136">
        <v>9.8780000000000001</v>
      </c>
      <c r="F136">
        <v>21.41</v>
      </c>
    </row>
    <row r="137" spans="1:6" x14ac:dyDescent="0.2">
      <c r="A137" s="4">
        <v>45974.635606226897</v>
      </c>
      <c r="B137">
        <v>378</v>
      </c>
      <c r="C137">
        <v>1320.08</v>
      </c>
      <c r="D137">
        <v>9.6999999999999993</v>
      </c>
      <c r="E137">
        <v>9.7530000000000001</v>
      </c>
      <c r="F137">
        <v>21.41</v>
      </c>
    </row>
    <row r="138" spans="1:6" x14ac:dyDescent="0.2">
      <c r="A138" s="4">
        <v>45974.635887870398</v>
      </c>
      <c r="B138">
        <v>712</v>
      </c>
      <c r="C138">
        <v>1344.41</v>
      </c>
      <c r="D138">
        <v>9.5950000000000006</v>
      </c>
      <c r="E138">
        <v>9.6470000000000002</v>
      </c>
      <c r="F138">
        <v>21.41</v>
      </c>
    </row>
    <row r="139" spans="1:6" x14ac:dyDescent="0.2">
      <c r="A139" s="4">
        <v>45974.6362029745</v>
      </c>
      <c r="B139">
        <v>937</v>
      </c>
      <c r="C139">
        <v>1371.64</v>
      </c>
      <c r="D139">
        <v>9.4930000000000003</v>
      </c>
      <c r="E139">
        <v>9.5289999999999999</v>
      </c>
      <c r="F139">
        <v>21.41</v>
      </c>
    </row>
    <row r="140" spans="1:6" x14ac:dyDescent="0.2">
      <c r="A140" s="4">
        <v>45974.636484942101</v>
      </c>
      <c r="B140">
        <v>299</v>
      </c>
      <c r="C140">
        <v>1396</v>
      </c>
      <c r="D140">
        <v>9.3849999999999998</v>
      </c>
      <c r="E140">
        <v>9.4250000000000007</v>
      </c>
      <c r="F140">
        <v>21.41</v>
      </c>
    </row>
    <row r="141" spans="1:6" x14ac:dyDescent="0.2">
      <c r="A141" s="4">
        <v>45974.636800462999</v>
      </c>
      <c r="B141">
        <v>560</v>
      </c>
      <c r="C141">
        <v>1423.26</v>
      </c>
      <c r="D141">
        <v>9.2829999999999995</v>
      </c>
      <c r="E141">
        <v>9.3109999999999999</v>
      </c>
      <c r="F141">
        <v>21.41</v>
      </c>
    </row>
    <row r="142" spans="1:6" x14ac:dyDescent="0.2">
      <c r="A142" s="4">
        <v>45974.637103611101</v>
      </c>
      <c r="B142">
        <v>752</v>
      </c>
      <c r="C142">
        <v>1449.45</v>
      </c>
      <c r="D142">
        <v>9.1780000000000008</v>
      </c>
      <c r="E142">
        <v>9.202</v>
      </c>
      <c r="F142">
        <v>21.41</v>
      </c>
    </row>
    <row r="143" spans="1:6" x14ac:dyDescent="0.2">
      <c r="A143" s="4">
        <v>45974.637408819399</v>
      </c>
      <c r="B143">
        <v>122</v>
      </c>
      <c r="C143">
        <v>1475.82</v>
      </c>
      <c r="D143">
        <v>9.0760000000000005</v>
      </c>
      <c r="E143">
        <v>9.0939999999999994</v>
      </c>
      <c r="F143">
        <v>21.41</v>
      </c>
    </row>
    <row r="144" spans="1:6" x14ac:dyDescent="0.2">
      <c r="A144" s="4">
        <v>45974.637702106498</v>
      </c>
      <c r="B144">
        <v>462</v>
      </c>
      <c r="C144">
        <v>1501.16</v>
      </c>
      <c r="D144">
        <v>8.9760000000000009</v>
      </c>
      <c r="E144">
        <v>8.9909999999999997</v>
      </c>
      <c r="F144">
        <v>21.41</v>
      </c>
    </row>
    <row r="145" spans="1:6" x14ac:dyDescent="0.2">
      <c r="A145" s="4">
        <v>45974.638029097201</v>
      </c>
      <c r="B145">
        <v>714</v>
      </c>
      <c r="C145">
        <v>1529.42</v>
      </c>
      <c r="D145">
        <v>8.875</v>
      </c>
      <c r="E145">
        <v>8.8789999999999996</v>
      </c>
      <c r="F145">
        <v>21.41</v>
      </c>
    </row>
    <row r="146" spans="1:6" x14ac:dyDescent="0.2">
      <c r="A146" s="4">
        <v>45974.638288726797</v>
      </c>
      <c r="B146">
        <v>146</v>
      </c>
      <c r="C146">
        <v>1551.85</v>
      </c>
      <c r="D146">
        <v>8.7729999999999997</v>
      </c>
      <c r="E146">
        <v>8.7899999999999991</v>
      </c>
      <c r="F146">
        <v>21.41</v>
      </c>
    </row>
    <row r="147" spans="1:6" x14ac:dyDescent="0.2">
      <c r="A147" s="4">
        <v>45974.638602384301</v>
      </c>
      <c r="B147">
        <v>246</v>
      </c>
      <c r="C147">
        <v>1578.95</v>
      </c>
      <c r="D147">
        <v>8.6720000000000006</v>
      </c>
      <c r="E147">
        <v>8.6850000000000005</v>
      </c>
      <c r="F147">
        <v>21.41</v>
      </c>
    </row>
    <row r="148" spans="1:6" x14ac:dyDescent="0.2">
      <c r="A148" s="4">
        <v>45974.638915717602</v>
      </c>
      <c r="B148">
        <v>318</v>
      </c>
      <c r="C148">
        <v>1606.02</v>
      </c>
      <c r="D148">
        <v>8.5719999999999992</v>
      </c>
      <c r="E148">
        <v>8.5809999999999995</v>
      </c>
      <c r="F148">
        <v>21.41</v>
      </c>
    </row>
    <row r="149" spans="1:6" x14ac:dyDescent="0.2">
      <c r="A149" s="4">
        <v>45974.6392526852</v>
      </c>
      <c r="B149">
        <v>432</v>
      </c>
      <c r="C149">
        <v>1635.13</v>
      </c>
      <c r="D149">
        <v>8.4640000000000004</v>
      </c>
      <c r="E149">
        <v>8.4710000000000001</v>
      </c>
      <c r="F149">
        <v>21.41</v>
      </c>
    </row>
    <row r="150" spans="1:6" x14ac:dyDescent="0.2">
      <c r="A150" s="4">
        <v>45974.639578888899</v>
      </c>
      <c r="B150">
        <v>616</v>
      </c>
      <c r="C150">
        <v>1663.32</v>
      </c>
      <c r="D150">
        <v>8.3629999999999995</v>
      </c>
      <c r="E150">
        <v>8.3659999999999997</v>
      </c>
      <c r="F150">
        <v>21.41</v>
      </c>
    </row>
    <row r="151" spans="1:6" x14ac:dyDescent="0.2">
      <c r="A151" s="4">
        <v>45974.639905300901</v>
      </c>
      <c r="B151">
        <v>818</v>
      </c>
      <c r="C151">
        <v>1691.52</v>
      </c>
      <c r="D151">
        <v>8.2579999999999991</v>
      </c>
      <c r="E151">
        <v>8.2620000000000005</v>
      </c>
      <c r="F151">
        <v>21.41</v>
      </c>
    </row>
    <row r="152" spans="1:6" x14ac:dyDescent="0.2">
      <c r="A152" s="4">
        <v>45974.640241666697</v>
      </c>
      <c r="B152">
        <v>880</v>
      </c>
      <c r="C152">
        <v>1720.58</v>
      </c>
      <c r="D152">
        <v>8.157</v>
      </c>
      <c r="E152">
        <v>8.157</v>
      </c>
      <c r="F152">
        <v>21.41</v>
      </c>
    </row>
    <row r="153" spans="1:6" x14ac:dyDescent="0.2">
      <c r="A153" s="4">
        <v>45974.640567384296</v>
      </c>
      <c r="B153">
        <v>22</v>
      </c>
      <c r="C153">
        <v>1748.72</v>
      </c>
      <c r="D153">
        <v>8.0559999999999992</v>
      </c>
      <c r="E153">
        <v>8.0559999999999992</v>
      </c>
      <c r="F153">
        <v>21.41</v>
      </c>
    </row>
    <row r="154" spans="1:6" x14ac:dyDescent="0.2">
      <c r="A154" s="4">
        <v>45974.640926886597</v>
      </c>
      <c r="B154">
        <v>83</v>
      </c>
      <c r="C154">
        <v>1779.79</v>
      </c>
      <c r="D154">
        <v>7.9470000000000001</v>
      </c>
      <c r="E154">
        <v>7.9470000000000001</v>
      </c>
      <c r="F154">
        <v>21.41</v>
      </c>
    </row>
    <row r="155" spans="1:6" x14ac:dyDescent="0.2">
      <c r="A155" s="4"/>
    </row>
    <row r="156" spans="1:6" x14ac:dyDescent="0.2">
      <c r="A156" s="4"/>
    </row>
    <row r="157" spans="1:6" x14ac:dyDescent="0.2">
      <c r="A157" s="4"/>
    </row>
    <row r="158" spans="1:6" x14ac:dyDescent="0.2">
      <c r="A158" s="4"/>
    </row>
    <row r="159" spans="1:6" x14ac:dyDescent="0.2">
      <c r="A159" s="4"/>
    </row>
    <row r="160" spans="1:6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E17AD0-4714-4B32-A636-958E01C8E7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922143-4B67-4317-BB22-4C3A2DA442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E9D5DE-7DA4-4689-9CE6-3A6F2938B994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Patel, Kaizad F</cp:lastModifiedBy>
  <dcterms:created xsi:type="dcterms:W3CDTF">2017-12-12T14:35:01Z</dcterms:created>
  <dcterms:modified xsi:type="dcterms:W3CDTF">2026-08-18T02:45:03Z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
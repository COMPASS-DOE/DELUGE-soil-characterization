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<sst xmlns="http://schemas.openxmlformats.org/spreadsheetml/2006/main" count="107" uniqueCount="106">
  <si>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</si>
  <si>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</si>
  <si>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</si>
  <si>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</si>
  <si>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</si>
  <si>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</si>
  <si>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</si>
  <si>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</si>
  <si>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</si>
  <si>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</si>
  <si>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</si>
  <si>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</si>
  <si>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KSAT_measurement_R2-BD-A2_000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</si>
  <si>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</si>
  <si>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</si>
  <si>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</si>
  <si>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</si>
  <si>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</si>
  <si>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</si>
  <si>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</si>
  <si>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</si>
  <si>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</si>
  <si>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</si>
  <si>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</si>
  <si>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</si>
  <si>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</si>
  <si>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</si>
  <si>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</si>
  <si>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</si>
  <si>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</si>
  <si>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</si>
  <si>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</si>
  <si>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</si>
  <si>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</si>
  <si>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</si>
  <si>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</si>
  <si>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</si>
  <si>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</si>
  <si>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</si>
  <si>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</si>
  <si>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</si>
  <si>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</si>
  <si>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</si>
  <si>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</si>
  <si>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</si>
  <si>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</si>
  <si>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</si>
  <si>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</si>
  <si>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</si>
  <si>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</si>
  <si>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</si>
  <si>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</si>
  <si>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</si>
  <si>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</si>
  <si>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</si>
  <si>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</si>
  <si>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</si>
  <si>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</si>
  <si>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</si>
  <si>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</si>
  <si>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</si>
  <si>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</si>
  <si>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</si>
  <si>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</si>
  <si>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</si>
  <si>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11/18/2025 2:56:12 PM</t>
  </si>
  <si>
    <t>Test duration</t>
  </si>
  <si>
    <t>00:29:23</t>
  </si>
  <si>
    <t>RESULT</t>
  </si>
  <si>
    <t>Use auto offset adjustment</t>
  </si>
  <si>
    <t>Max offset adjustment [cm]</t>
  </si>
  <si>
    <t>1</t>
  </si>
  <si>
    <t>Fitting Parameter a [cm]</t>
  </si>
  <si>
    <t>19.46</t>
  </si>
  <si>
    <t>coefficient a of the fitted exponential pressure head decrease function y = a * exp(-b*t)+c, where y is the pressure head in cm and t is time in s</t>
  </si>
  <si>
    <t>Fitting Parameter b [s-1]</t>
  </si>
  <si>
    <t>-7.05E-04</t>
  </si>
  <si>
    <t>coefficient b of the fitted exponential pressure head decrease function y = a * exp(-b*t)+c, where y is the pressure head in cm and t is time in s</t>
  </si>
  <si>
    <t>Fitting Parameter c [cm]</t>
  </si>
  <si>
    <t>coefficient c of the fitted exponential pressure head decrease function y = a * exp(-b*t)+c, where y is the pressure head in cm and t is time in s</t>
  </si>
  <si>
    <t>Fitting Parameter r2 [-]</t>
  </si>
  <si>
    <t>0.9999</t>
  </si>
  <si>
    <t>coefficient of determination of the exponential pressure head decrease function that is fitted to the observed data</t>
  </si>
  <si>
    <t>Ks Total [cm/d]</t>
  </si>
  <si>
    <t>87.224</t>
  </si>
  <si>
    <t>Saturated hydraulic conductivity [cm/d] of the entire system</t>
  </si>
  <si>
    <t>Ks Total [m/s]</t>
  </si>
  <si>
    <t>1.01E-05</t>
  </si>
  <si>
    <t>Saturated hydraulic conductivity [m/s] of the entire system</t>
  </si>
  <si>
    <t>Ks Soil [cm/d]</t>
  </si>
  <si>
    <t>71.828</t>
  </si>
  <si>
    <t>Saturated hydraulic conductivity [cm/d] of the soil sample itself</t>
  </si>
  <si>
    <t>Ks Soil [m/s]</t>
  </si>
  <si>
    <t>8.35E-06</t>
  </si>
  <si>
    <t>Saturated hydraulic conductivity [m/s] of the soil sample itself</t>
  </si>
  <si>
    <t>69.764</t>
  </si>
  <si>
    <t>Saturated hydraulic conductivity [cm/d] of the soil sample  normalized to 10 °C mean field temperature</t>
  </si>
  <si>
    <t>8.11E-06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</si>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</sst>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/>
  </sheetViews>
  <sheetFormatPr baseColWidth="10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 t="s">
        <v>6</v>
      </c>
    </row>
    <row r="5" spans="1:2" x14ac:dyDescent="0.2">
      <c r="A5" t="s">
        <v>7</v>
      </c>
      <c r="B5" s="6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1" t="s">
        <v>65</v>
      </c>
    </row>
    <row r="38" spans="1:3" x14ac:dyDescent="0.2">
      <c r="A38" t="s">
        <v>66</v>
      </c>
      <c r="B38" s="2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3" t="s">
        <v>76</v>
      </c>
      <c r="C44" s="3" t="s">
        <v>77</v>
      </c>
    </row>
    <row r="45" spans="1:3" x14ac:dyDescent="0.2">
      <c r="A45" t="s">
        <v>78</v>
      </c>
      <c r="B45" t="s">
        <v>71</v>
      </c>
      <c r="C45" t="s">
        <v>79</v>
      </c>
    </row>
    <row r="46" spans="1:3" x14ac:dyDescent="0.2">
      <c r="A46" t="s">
        <v>80</v>
      </c>
      <c r="B46" t="s">
        <v>81</v>
      </c>
      <c r="C46" t="s">
        <v>82</v>
      </c>
    </row>
    <row r="47" spans="1:3" x14ac:dyDescent="0.2">
      <c r="A47" t="s">
        <v>83</v>
      </c>
      <c r="B47" t="s">
        <v>84</v>
      </c>
      <c r="C47" t="s">
        <v>85</v>
      </c>
    </row>
    <row r="48" spans="1:3" x14ac:dyDescent="0.2">
      <c r="A48" t="s">
        <v>86</v>
      </c>
      <c r="B48" s="3" t="s">
        <v>87</v>
      </c>
      <c r="C48" s="3" t="s">
        <v>88</v>
      </c>
    </row>
    <row r="49" spans="1:6" x14ac:dyDescent="0.2">
      <c r="A49" t="s">
        <v>89</v>
      </c>
      <c r="B49" t="s">
        <v>90</v>
      </c>
      <c r="C49" t="s">
        <v>91</v>
      </c>
    </row>
    <row r="50" spans="1:6" x14ac:dyDescent="0.2">
      <c r="A50" t="s">
        <v>92</v>
      </c>
      <c r="B50" s="3" t="s">
        <v>93</v>
      </c>
      <c r="C50" s="3" t="s">
        <v>94</v>
      </c>
    </row>
    <row r="51" spans="1:6" x14ac:dyDescent="0.2">
      <c r="A51" t="str">
        <f>CONCATENATE("Ks Soil normalized at ",B32," °C [cm/d]")</f>
        <v>Ks Soil normalized at 20 °C [cm/d]</v>
      </c>
      <c r="B51" t="s">
        <v>95</v>
      </c>
      <c r="C51" t="s">
        <v>96</v>
      </c>
    </row>
    <row r="52" spans="1:6" x14ac:dyDescent="0.2">
      <c r="A52" t="str">
        <f>CONCATENATE("Ks Soil normalized at ",B32," °C [m/s]")</f>
        <v>Ks Soil normalized at 20 °C [m/s]</v>
      </c>
      <c r="B52" s="3" t="s">
        <v>97</v>
      </c>
      <c r="C52" s="3" t="s">
        <v>98</v>
      </c>
    </row>
    <row r="54" spans="1:6" x14ac:dyDescent="0.2">
      <c r="A54" t="s">
        <v>99</v>
      </c>
    </row>
    <row r="55" spans="1:6" x14ac:dyDescent="0.2">
      <c r="A55" s="1" t="s">
        <v>100</v>
      </c>
      <c r="B55" t="s">
        <v>101</v>
      </c>
      <c r="C55" t="s">
        <v>102</v>
      </c>
      <c r="D55" t="s">
        <v>103</v>
      </c>
      <c r="E55" t="s">
        <v>104</v>
      </c>
      <c r="F55" t="s">
        <v>105</v>
      </c>
    </row>
    <row r="56" spans="1:6" x14ac:dyDescent="0.2">
      <c r="A56" s="4">
        <v>45979.622365416697</v>
      </c>
      <c r="B56">
        <v>372</v>
      </c>
      <c r="C56">
        <v>0</v>
      </c>
      <c r="D56">
        <v>18.454999999999998</v>
      </c>
      <c r="E56">
        <v>18.454999999999998</v>
      </c>
      <c r="F56">
        <v>21.23</v>
      </c>
    </row>
    <row r="57" spans="1:6" x14ac:dyDescent="0.2">
      <c r="A57" s="4">
        <v>45979.622424571797</v>
      </c>
      <c r="B57">
        <v>483</v>
      </c>
      <c r="C57">
        <v>5.1100000000000003</v>
      </c>
      <c r="D57">
        <v>18.332000000000001</v>
      </c>
      <c r="E57">
        <v>18.385000000000002</v>
      </c>
      <c r="F57">
        <v>21.23</v>
      </c>
    </row>
    <row r="58" spans="1:6" x14ac:dyDescent="0.2">
      <c r="A58" s="4">
        <v>45979.622435949103</v>
      </c>
      <c r="B58">
        <v>466</v>
      </c>
      <c r="C58">
        <v>6.09</v>
      </c>
      <c r="D58">
        <v>18.343</v>
      </c>
      <c r="E58">
        <v>18.372</v>
      </c>
      <c r="F58">
        <v>21.23</v>
      </c>
    </row>
    <row r="59" spans="1:6" x14ac:dyDescent="0.2">
      <c r="A59" s="4">
        <v>45979.622516319403</v>
      </c>
      <c r="B59">
        <v>410</v>
      </c>
      <c r="C59">
        <v>13.04</v>
      </c>
      <c r="D59">
        <v>18.238</v>
      </c>
      <c r="E59">
        <v>18.277000000000001</v>
      </c>
      <c r="F59">
        <v>21.24</v>
      </c>
    </row>
    <row r="60" spans="1:6" x14ac:dyDescent="0.2">
      <c r="A60" s="4">
        <v>45979.622613263899</v>
      </c>
      <c r="B60">
        <v>786</v>
      </c>
      <c r="C60">
        <v>21.41</v>
      </c>
      <c r="D60">
        <v>18.137</v>
      </c>
      <c r="E60">
        <v>18.163</v>
      </c>
      <c r="F60">
        <v>21.23</v>
      </c>
    </row>
    <row r="61" spans="1:6" x14ac:dyDescent="0.2">
      <c r="A61" s="4">
        <v>45979.622710787</v>
      </c>
      <c r="B61">
        <v>212</v>
      </c>
      <c r="C61">
        <v>29.84</v>
      </c>
      <c r="D61">
        <v>18.036000000000001</v>
      </c>
      <c r="E61">
        <v>18.05</v>
      </c>
      <c r="F61">
        <v>21.23</v>
      </c>
    </row>
    <row r="62" spans="1:6" x14ac:dyDescent="0.2">
      <c r="A62" s="4">
        <v>45979.622796967597</v>
      </c>
      <c r="B62">
        <v>658</v>
      </c>
      <c r="C62">
        <v>37.29</v>
      </c>
      <c r="D62">
        <v>17.933</v>
      </c>
      <c r="E62">
        <v>17.95</v>
      </c>
      <c r="F62">
        <v>21.23</v>
      </c>
    </row>
    <row r="63" spans="1:6" x14ac:dyDescent="0.2">
      <c r="A63" s="4">
        <v>45979.622893020802</v>
      </c>
      <c r="B63">
        <v>957</v>
      </c>
      <c r="C63">
        <v>45.58</v>
      </c>
      <c r="D63">
        <v>17.831</v>
      </c>
      <c r="E63">
        <v>17.838999999999999</v>
      </c>
      <c r="F63">
        <v>21.24</v>
      </c>
    </row>
    <row r="64" spans="1:6" x14ac:dyDescent="0.2">
      <c r="A64" s="4">
        <v>45979.6230013889</v>
      </c>
      <c r="B64">
        <v>320</v>
      </c>
      <c r="C64">
        <v>54.95</v>
      </c>
      <c r="D64">
        <v>17.716000000000001</v>
      </c>
      <c r="E64">
        <v>17.715</v>
      </c>
      <c r="F64">
        <v>21.25</v>
      </c>
    </row>
    <row r="65" spans="1:6" x14ac:dyDescent="0.2">
      <c r="A65" s="4">
        <v>45979.623087731503</v>
      </c>
      <c r="B65">
        <v>780</v>
      </c>
      <c r="C65">
        <v>62.41</v>
      </c>
      <c r="D65">
        <v>17.614999999999998</v>
      </c>
      <c r="E65">
        <v>17.617000000000001</v>
      </c>
      <c r="F65">
        <v>21.24</v>
      </c>
    </row>
    <row r="66" spans="1:6" x14ac:dyDescent="0.2">
      <c r="A66" s="4">
        <v>45979.623195729197</v>
      </c>
      <c r="B66">
        <v>111</v>
      </c>
      <c r="C66">
        <v>71.739999999999995</v>
      </c>
      <c r="D66">
        <v>17.5</v>
      </c>
      <c r="E66">
        <v>17.495000000000001</v>
      </c>
      <c r="F66">
        <v>21.24</v>
      </c>
    </row>
    <row r="67" spans="1:6" x14ac:dyDescent="0.2">
      <c r="A67" s="4">
        <v>45979.623293229197</v>
      </c>
      <c r="B67">
        <v>535</v>
      </c>
      <c r="C67">
        <v>80.16</v>
      </c>
      <c r="D67">
        <v>17.399999999999999</v>
      </c>
      <c r="E67">
        <v>17.385000000000002</v>
      </c>
      <c r="F67">
        <v>21.24</v>
      </c>
    </row>
    <row r="68" spans="1:6" x14ac:dyDescent="0.2">
      <c r="A68" s="4">
        <v>45979.623378958298</v>
      </c>
      <c r="B68">
        <v>942</v>
      </c>
      <c r="C68">
        <v>87.57</v>
      </c>
      <c r="D68">
        <v>17.288</v>
      </c>
      <c r="E68">
        <v>17.29</v>
      </c>
      <c r="F68">
        <v>21.24</v>
      </c>
    </row>
    <row r="69" spans="1:6" x14ac:dyDescent="0.2">
      <c r="A69" s="4">
        <v>45979.623499097201</v>
      </c>
      <c r="B69">
        <v>322</v>
      </c>
      <c r="C69">
        <v>97.95</v>
      </c>
      <c r="D69">
        <v>17.187999999999999</v>
      </c>
      <c r="E69">
        <v>17.155999999999999</v>
      </c>
      <c r="F69">
        <v>21.24</v>
      </c>
    </row>
    <row r="70" spans="1:6" x14ac:dyDescent="0.2">
      <c r="A70" s="4">
        <v>45979.6236066782</v>
      </c>
      <c r="B70">
        <v>617</v>
      </c>
      <c r="C70">
        <v>107.25</v>
      </c>
      <c r="D70">
        <v>17.081</v>
      </c>
      <c r="E70">
        <v>17.036999999999999</v>
      </c>
      <c r="F70">
        <v>21.23</v>
      </c>
    </row>
    <row r="71" spans="1:6" x14ac:dyDescent="0.2">
      <c r="A71" s="4">
        <v>45979.623692766203</v>
      </c>
      <c r="B71">
        <v>55</v>
      </c>
      <c r="C71">
        <v>114.68</v>
      </c>
      <c r="D71">
        <v>16.974</v>
      </c>
      <c r="E71">
        <v>16.943000000000001</v>
      </c>
      <c r="F71">
        <v>21.23</v>
      </c>
    </row>
    <row r="72" spans="1:6" x14ac:dyDescent="0.2">
      <c r="A72" s="4">
        <v>45979.623801087997</v>
      </c>
      <c r="B72">
        <v>414</v>
      </c>
      <c r="C72">
        <v>124.04</v>
      </c>
      <c r="D72">
        <v>16.872</v>
      </c>
      <c r="E72">
        <v>16.824999999999999</v>
      </c>
      <c r="F72">
        <v>21.23</v>
      </c>
    </row>
    <row r="73" spans="1:6" x14ac:dyDescent="0.2">
      <c r="A73" s="4">
        <v>45979.6239095255</v>
      </c>
      <c r="B73">
        <v>783</v>
      </c>
      <c r="C73">
        <v>133.41</v>
      </c>
      <c r="D73">
        <v>16.757000000000001</v>
      </c>
      <c r="E73">
        <v>16.707999999999998</v>
      </c>
      <c r="F73">
        <v>21.23</v>
      </c>
    </row>
    <row r="74" spans="1:6" x14ac:dyDescent="0.2">
      <c r="A74" s="4">
        <v>45979.624017141199</v>
      </c>
      <c r="B74">
        <v>81</v>
      </c>
      <c r="C74">
        <v>142.71</v>
      </c>
      <c r="D74">
        <v>16.654</v>
      </c>
      <c r="E74">
        <v>16.591999999999999</v>
      </c>
      <c r="F74">
        <v>21.23</v>
      </c>
    </row>
    <row r="75" spans="1:6" x14ac:dyDescent="0.2">
      <c r="A75" s="4">
        <v>45979.624124305599</v>
      </c>
      <c r="B75">
        <v>340</v>
      </c>
      <c r="C75">
        <v>151.97</v>
      </c>
      <c r="D75">
        <v>16.532</v>
      </c>
      <c r="E75">
        <v>16.477</v>
      </c>
      <c r="F75">
        <v>21.23</v>
      </c>
    </row>
    <row r="76" spans="1:6" x14ac:dyDescent="0.2">
      <c r="A76" s="4">
        <v>45979.624221898201</v>
      </c>
      <c r="B76">
        <v>772</v>
      </c>
      <c r="C76">
        <v>160.4</v>
      </c>
      <c r="D76">
        <v>16.43</v>
      </c>
      <c r="E76">
        <v>16.373999999999999</v>
      </c>
      <c r="F76">
        <v>21.23</v>
      </c>
    </row>
    <row r="77" spans="1:6" x14ac:dyDescent="0.2">
      <c r="A77" s="4">
        <v>45979.624329247701</v>
      </c>
      <c r="B77">
        <v>47</v>
      </c>
      <c r="C77">
        <v>169.68</v>
      </c>
      <c r="D77">
        <v>16.323</v>
      </c>
      <c r="E77">
        <v>16.260000000000002</v>
      </c>
      <c r="F77">
        <v>21.23</v>
      </c>
    </row>
    <row r="78" spans="1:6" x14ac:dyDescent="0.2">
      <c r="A78" s="4">
        <v>45979.624436909697</v>
      </c>
      <c r="B78">
        <v>349</v>
      </c>
      <c r="C78">
        <v>178.98</v>
      </c>
      <c r="D78">
        <v>16.222999999999999</v>
      </c>
      <c r="E78">
        <v>16.146999999999998</v>
      </c>
      <c r="F78">
        <v>21.23</v>
      </c>
    </row>
    <row r="79" spans="1:6" x14ac:dyDescent="0.2">
      <c r="A79" s="4">
        <v>45979.624522164399</v>
      </c>
      <c r="B79">
        <v>715</v>
      </c>
      <c r="C79">
        <v>186.34</v>
      </c>
      <c r="D79">
        <v>16.12</v>
      </c>
      <c r="E79">
        <v>16.059000000000001</v>
      </c>
      <c r="F79">
        <v>21.24</v>
      </c>
    </row>
    <row r="80" spans="1:6" x14ac:dyDescent="0.2">
      <c r="A80" s="4">
        <v>45979.6246304167</v>
      </c>
      <c r="B80">
        <v>68</v>
      </c>
      <c r="C80">
        <v>195.7</v>
      </c>
      <c r="D80">
        <v>16.018000000000001</v>
      </c>
      <c r="E80">
        <v>15.946</v>
      </c>
      <c r="F80">
        <v>21.25</v>
      </c>
    </row>
    <row r="81" spans="1:6" x14ac:dyDescent="0.2">
      <c r="A81" s="4">
        <v>45979.624727326402</v>
      </c>
      <c r="B81">
        <v>441</v>
      </c>
      <c r="C81">
        <v>204.07</v>
      </c>
      <c r="D81">
        <v>15.916</v>
      </c>
      <c r="E81">
        <v>15.847</v>
      </c>
      <c r="F81">
        <v>21.25</v>
      </c>
    </row>
    <row r="82" spans="1:6" x14ac:dyDescent="0.2">
      <c r="A82" s="4">
        <v>45979.624825266197</v>
      </c>
      <c r="B82">
        <v>903</v>
      </c>
      <c r="C82">
        <v>212.53</v>
      </c>
      <c r="D82">
        <v>15.813000000000001</v>
      </c>
      <c r="E82">
        <v>15.746</v>
      </c>
      <c r="F82">
        <v>21.25</v>
      </c>
    </row>
    <row r="83" spans="1:6" x14ac:dyDescent="0.2">
      <c r="A83" s="4">
        <v>45979.624934861102</v>
      </c>
      <c r="B83">
        <v>372</v>
      </c>
      <c r="C83">
        <v>222</v>
      </c>
      <c r="D83">
        <v>15.711</v>
      </c>
      <c r="E83">
        <v>15.635</v>
      </c>
      <c r="F83">
        <v>21.24</v>
      </c>
    </row>
    <row r="84" spans="1:6" x14ac:dyDescent="0.2">
      <c r="A84" s="4">
        <v>45979.625032523101</v>
      </c>
      <c r="B84">
        <v>810</v>
      </c>
      <c r="C84">
        <v>230.44</v>
      </c>
      <c r="D84">
        <v>15.602</v>
      </c>
      <c r="E84">
        <v>15.536</v>
      </c>
      <c r="F84">
        <v>21.24</v>
      </c>
    </row>
    <row r="85" spans="1:6" x14ac:dyDescent="0.2">
      <c r="A85" s="4">
        <v>45979.625140393502</v>
      </c>
      <c r="B85">
        <v>130</v>
      </c>
      <c r="C85">
        <v>239.76</v>
      </c>
      <c r="D85">
        <v>15.500999999999999</v>
      </c>
      <c r="E85">
        <v>15.428000000000001</v>
      </c>
      <c r="F85">
        <v>21.24</v>
      </c>
    </row>
    <row r="86" spans="1:6" x14ac:dyDescent="0.2">
      <c r="A86" s="4">
        <v>45979.625237025502</v>
      </c>
      <c r="B86">
        <v>479</v>
      </c>
      <c r="C86">
        <v>248.11</v>
      </c>
      <c r="D86">
        <v>15.401</v>
      </c>
      <c r="E86">
        <v>15.331</v>
      </c>
      <c r="F86">
        <v>21.24</v>
      </c>
    </row>
    <row r="87" spans="1:6" x14ac:dyDescent="0.2">
      <c r="A87" s="4">
        <v>45979.625333912001</v>
      </c>
      <c r="B87">
        <v>850</v>
      </c>
      <c r="C87">
        <v>256.48</v>
      </c>
      <c r="D87">
        <v>15.294</v>
      </c>
      <c r="E87">
        <v>15.234999999999999</v>
      </c>
      <c r="F87">
        <v>21.24</v>
      </c>
    </row>
    <row r="88" spans="1:6" x14ac:dyDescent="0.2">
      <c r="A88" s="4">
        <v>45979.625442754601</v>
      </c>
      <c r="B88">
        <v>254</v>
      </c>
      <c r="C88">
        <v>265.88</v>
      </c>
      <c r="D88">
        <v>15.192</v>
      </c>
      <c r="E88">
        <v>15.128</v>
      </c>
      <c r="F88">
        <v>21.25</v>
      </c>
    </row>
    <row r="89" spans="1:6" x14ac:dyDescent="0.2">
      <c r="A89" s="4">
        <v>45979.625551886602</v>
      </c>
      <c r="B89">
        <v>683</v>
      </c>
      <c r="C89">
        <v>275.31</v>
      </c>
      <c r="D89">
        <v>15.082000000000001</v>
      </c>
      <c r="E89">
        <v>15.021000000000001</v>
      </c>
      <c r="F89">
        <v>21.24</v>
      </c>
    </row>
    <row r="90" spans="1:6" x14ac:dyDescent="0.2">
      <c r="A90" s="4">
        <v>45979.625660659702</v>
      </c>
      <c r="B90">
        <v>81</v>
      </c>
      <c r="C90">
        <v>284.70999999999998</v>
      </c>
      <c r="D90">
        <v>14.978999999999999</v>
      </c>
      <c r="E90">
        <v>14.914999999999999</v>
      </c>
      <c r="F90">
        <v>21.23</v>
      </c>
    </row>
    <row r="91" spans="1:6" x14ac:dyDescent="0.2">
      <c r="A91" s="4">
        <v>45979.625759097202</v>
      </c>
      <c r="B91">
        <v>586</v>
      </c>
      <c r="C91">
        <v>293.20999999999998</v>
      </c>
      <c r="D91">
        <v>14.868</v>
      </c>
      <c r="E91">
        <v>14.82</v>
      </c>
      <c r="F91">
        <v>21.23</v>
      </c>
    </row>
    <row r="92" spans="1:6" x14ac:dyDescent="0.2">
      <c r="A92" s="4">
        <v>45979.6258792593</v>
      </c>
      <c r="B92">
        <v>968</v>
      </c>
      <c r="C92">
        <v>303.60000000000002</v>
      </c>
      <c r="D92">
        <v>14.753</v>
      </c>
      <c r="E92">
        <v>14.704000000000001</v>
      </c>
      <c r="F92">
        <v>21.23</v>
      </c>
    </row>
    <row r="93" spans="1:6" x14ac:dyDescent="0.2">
      <c r="A93" s="4">
        <v>45979.625998668998</v>
      </c>
      <c r="B93">
        <v>285</v>
      </c>
      <c r="C93">
        <v>313.91000000000003</v>
      </c>
      <c r="D93">
        <v>14.648999999999999</v>
      </c>
      <c r="E93">
        <v>14.59</v>
      </c>
      <c r="F93">
        <v>21.23</v>
      </c>
    </row>
    <row r="94" spans="1:6" x14ac:dyDescent="0.2">
      <c r="A94" s="4">
        <v>45979.626119189801</v>
      </c>
      <c r="B94">
        <v>698</v>
      </c>
      <c r="C94">
        <v>324.33</v>
      </c>
      <c r="D94">
        <v>14.544</v>
      </c>
      <c r="E94">
        <v>14.476000000000001</v>
      </c>
      <c r="F94">
        <v>21.24</v>
      </c>
    </row>
    <row r="95" spans="1:6" x14ac:dyDescent="0.2">
      <c r="A95" s="4">
        <v>45979.626226701403</v>
      </c>
      <c r="B95">
        <v>987</v>
      </c>
      <c r="C95">
        <v>333.61</v>
      </c>
      <c r="D95">
        <v>14.433</v>
      </c>
      <c r="E95">
        <v>14.375</v>
      </c>
      <c r="F95">
        <v>21.23</v>
      </c>
    </row>
    <row r="96" spans="1:6" x14ac:dyDescent="0.2">
      <c r="A96" s="4">
        <v>45979.626345243101</v>
      </c>
      <c r="B96">
        <v>229</v>
      </c>
      <c r="C96">
        <v>343.86</v>
      </c>
      <c r="D96">
        <v>14.327999999999999</v>
      </c>
      <c r="E96">
        <v>14.265000000000001</v>
      </c>
      <c r="F96">
        <v>21.23</v>
      </c>
    </row>
    <row r="97" spans="1:6" x14ac:dyDescent="0.2">
      <c r="A97" s="4">
        <v>45979.626452951401</v>
      </c>
      <c r="B97">
        <v>535</v>
      </c>
      <c r="C97">
        <v>353.16</v>
      </c>
      <c r="D97">
        <v>14.222</v>
      </c>
      <c r="E97">
        <v>14.164999999999999</v>
      </c>
      <c r="F97">
        <v>21.23</v>
      </c>
    </row>
    <row r="98" spans="1:6" x14ac:dyDescent="0.2">
      <c r="A98" s="4">
        <v>45979.626573506903</v>
      </c>
      <c r="B98">
        <v>951</v>
      </c>
      <c r="C98">
        <v>363.58</v>
      </c>
      <c r="D98">
        <v>14.113</v>
      </c>
      <c r="E98">
        <v>14.054</v>
      </c>
      <c r="F98">
        <v>21.23</v>
      </c>
    </row>
    <row r="99" spans="1:6" x14ac:dyDescent="0.2">
      <c r="A99" s="4">
        <v>45979.626691886602</v>
      </c>
      <c r="B99">
        <v>179</v>
      </c>
      <c r="C99">
        <v>373.81</v>
      </c>
      <c r="D99">
        <v>13.997999999999999</v>
      </c>
      <c r="E99">
        <v>13.945</v>
      </c>
      <c r="F99">
        <v>21.23</v>
      </c>
    </row>
    <row r="100" spans="1:6" x14ac:dyDescent="0.2">
      <c r="A100" s="4">
        <v>45979.626822743099</v>
      </c>
      <c r="B100">
        <v>485</v>
      </c>
      <c r="C100">
        <v>385.11</v>
      </c>
      <c r="D100">
        <v>13.888</v>
      </c>
      <c r="E100">
        <v>13.827</v>
      </c>
      <c r="F100">
        <v>21.23</v>
      </c>
    </row>
    <row r="101" spans="1:6" x14ac:dyDescent="0.2">
      <c r="A101" s="4">
        <v>45979.626931215302</v>
      </c>
      <c r="B101">
        <v>857</v>
      </c>
      <c r="C101">
        <v>394.49</v>
      </c>
      <c r="D101">
        <v>13.786</v>
      </c>
      <c r="E101">
        <v>13.728999999999999</v>
      </c>
      <c r="F101">
        <v>21.23</v>
      </c>
    </row>
    <row r="102" spans="1:6" x14ac:dyDescent="0.2">
      <c r="A102" s="4">
        <v>45979.627039594903</v>
      </c>
      <c r="B102">
        <v>221</v>
      </c>
      <c r="C102">
        <v>403.85</v>
      </c>
      <c r="D102">
        <v>13.685</v>
      </c>
      <c r="E102">
        <v>13.632</v>
      </c>
      <c r="F102">
        <v>21.23</v>
      </c>
    </row>
    <row r="103" spans="1:6" x14ac:dyDescent="0.2">
      <c r="A103" s="4">
        <v>45979.627170358799</v>
      </c>
      <c r="B103">
        <v>519</v>
      </c>
      <c r="C103">
        <v>415.15</v>
      </c>
      <c r="D103">
        <v>13.574</v>
      </c>
      <c r="E103">
        <v>13.516</v>
      </c>
      <c r="F103">
        <v>21.23</v>
      </c>
    </row>
    <row r="104" spans="1:6" x14ac:dyDescent="0.2">
      <c r="A104" s="4">
        <v>45979.627289097203</v>
      </c>
      <c r="B104">
        <v>778</v>
      </c>
      <c r="C104">
        <v>425.41</v>
      </c>
      <c r="D104">
        <v>13.468</v>
      </c>
      <c r="E104">
        <v>13.411</v>
      </c>
      <c r="F104">
        <v>21.23</v>
      </c>
    </row>
    <row r="105" spans="1:6" x14ac:dyDescent="0.2">
      <c r="A105" s="4">
        <v>45979.627420034703</v>
      </c>
      <c r="B105">
        <v>91</v>
      </c>
      <c r="C105">
        <v>436.72</v>
      </c>
      <c r="D105">
        <v>13.362</v>
      </c>
      <c r="E105">
        <v>13.297000000000001</v>
      </c>
      <c r="F105">
        <v>21.23</v>
      </c>
    </row>
    <row r="106" spans="1:6" x14ac:dyDescent="0.2">
      <c r="A106" s="4">
        <v>45979.627539016197</v>
      </c>
      <c r="B106">
        <v>371</v>
      </c>
      <c r="C106">
        <v>447</v>
      </c>
      <c r="D106">
        <v>13.26</v>
      </c>
      <c r="E106">
        <v>13.193</v>
      </c>
      <c r="F106">
        <v>21.23</v>
      </c>
    </row>
    <row r="107" spans="1:6" x14ac:dyDescent="0.2">
      <c r="A107" s="4">
        <v>45979.627658171303</v>
      </c>
      <c r="B107">
        <v>666</v>
      </c>
      <c r="C107">
        <v>457.29</v>
      </c>
      <c r="D107">
        <v>13.147</v>
      </c>
      <c r="E107">
        <v>13.090999999999999</v>
      </c>
      <c r="F107">
        <v>21.23</v>
      </c>
    </row>
    <row r="108" spans="1:6" x14ac:dyDescent="0.2">
      <c r="A108" s="4">
        <v>45979.627788506899</v>
      </c>
      <c r="B108">
        <v>927</v>
      </c>
      <c r="C108">
        <v>468.55</v>
      </c>
      <c r="D108">
        <v>13.045999999999999</v>
      </c>
      <c r="E108">
        <v>12.978999999999999</v>
      </c>
      <c r="F108">
        <v>21.23</v>
      </c>
    </row>
    <row r="109" spans="1:6" x14ac:dyDescent="0.2">
      <c r="A109" s="4">
        <v>45979.627896585604</v>
      </c>
      <c r="B109">
        <v>265</v>
      </c>
      <c r="C109">
        <v>477.89</v>
      </c>
      <c r="D109">
        <v>12.942</v>
      </c>
      <c r="E109">
        <v>12.887</v>
      </c>
      <c r="F109">
        <v>21.24</v>
      </c>
    </row>
    <row r="110" spans="1:6" x14ac:dyDescent="0.2">
      <c r="A110" s="4">
        <v>45979.628038020797</v>
      </c>
      <c r="B110">
        <v>485</v>
      </c>
      <c r="C110">
        <v>490.11</v>
      </c>
      <c r="D110">
        <v>12.831</v>
      </c>
      <c r="E110">
        <v>12.768000000000001</v>
      </c>
      <c r="F110">
        <v>21.24</v>
      </c>
    </row>
    <row r="111" spans="1:6" x14ac:dyDescent="0.2">
      <c r="A111" s="4">
        <v>45979.628179664403</v>
      </c>
      <c r="B111">
        <v>723</v>
      </c>
      <c r="C111">
        <v>502.35</v>
      </c>
      <c r="D111">
        <v>12.72</v>
      </c>
      <c r="E111">
        <v>12.65</v>
      </c>
      <c r="F111">
        <v>21.23</v>
      </c>
    </row>
    <row r="112" spans="1:6" x14ac:dyDescent="0.2">
      <c r="A112" s="4">
        <v>45979.628310474502</v>
      </c>
      <c r="B112">
        <v>25</v>
      </c>
      <c r="C112">
        <v>513.65</v>
      </c>
      <c r="D112">
        <v>12.617000000000001</v>
      </c>
      <c r="E112">
        <v>12.541</v>
      </c>
      <c r="F112">
        <v>21.23</v>
      </c>
    </row>
    <row r="113" spans="1:6" x14ac:dyDescent="0.2">
      <c r="A113" s="4">
        <v>45979.628428576398</v>
      </c>
      <c r="B113">
        <v>229</v>
      </c>
      <c r="C113">
        <v>523.86</v>
      </c>
      <c r="D113">
        <v>12.516</v>
      </c>
      <c r="E113">
        <v>12.444000000000001</v>
      </c>
      <c r="F113">
        <v>21.23</v>
      </c>
    </row>
    <row r="114" spans="1:6" x14ac:dyDescent="0.2">
      <c r="A114" s="4">
        <v>45979.628559456003</v>
      </c>
      <c r="B114">
        <v>537</v>
      </c>
      <c r="C114">
        <v>535.16</v>
      </c>
      <c r="D114">
        <v>12.413</v>
      </c>
      <c r="E114">
        <v>12.337</v>
      </c>
      <c r="F114">
        <v>21.23</v>
      </c>
    </row>
    <row r="115" spans="1:6" x14ac:dyDescent="0.2">
      <c r="A115" s="4">
        <v>45979.6287017824</v>
      </c>
      <c r="B115">
        <v>834</v>
      </c>
      <c r="C115">
        <v>547.46</v>
      </c>
      <c r="D115">
        <v>12.301</v>
      </c>
      <c r="E115">
        <v>12.222</v>
      </c>
      <c r="F115">
        <v>21.24</v>
      </c>
    </row>
    <row r="116" spans="1:6" x14ac:dyDescent="0.2">
      <c r="A116" s="4">
        <v>45979.628832511597</v>
      </c>
      <c r="B116">
        <v>129</v>
      </c>
      <c r="C116">
        <v>558.76</v>
      </c>
      <c r="D116">
        <v>12.193</v>
      </c>
      <c r="E116">
        <v>12.117000000000001</v>
      </c>
      <c r="F116">
        <v>21.25</v>
      </c>
    </row>
    <row r="117" spans="1:6" x14ac:dyDescent="0.2">
      <c r="A117" s="4">
        <v>45979.628973148101</v>
      </c>
      <c r="B117">
        <v>280</v>
      </c>
      <c r="C117">
        <v>570.91</v>
      </c>
      <c r="D117">
        <v>12.090999999999999</v>
      </c>
      <c r="E117">
        <v>12.005000000000001</v>
      </c>
      <c r="F117">
        <v>21.24</v>
      </c>
    </row>
    <row r="118" spans="1:6" x14ac:dyDescent="0.2">
      <c r="A118" s="4">
        <v>45979.629091516203</v>
      </c>
      <c r="B118">
        <v>507</v>
      </c>
      <c r="C118">
        <v>581.13</v>
      </c>
      <c r="D118">
        <v>11.988</v>
      </c>
      <c r="E118">
        <v>11.912000000000001</v>
      </c>
      <c r="F118">
        <v>21.23</v>
      </c>
    </row>
    <row r="119" spans="1:6" x14ac:dyDescent="0.2">
      <c r="A119" s="4">
        <v>45979.629234074098</v>
      </c>
      <c r="B119">
        <v>824</v>
      </c>
      <c r="C119">
        <v>593.45000000000005</v>
      </c>
      <c r="D119">
        <v>11.882</v>
      </c>
      <c r="E119">
        <v>11.8</v>
      </c>
      <c r="F119">
        <v>21.23</v>
      </c>
    </row>
    <row r="120" spans="1:6" x14ac:dyDescent="0.2">
      <c r="A120" s="4">
        <v>45979.629364212997</v>
      </c>
      <c r="B120">
        <v>68</v>
      </c>
      <c r="C120">
        <v>604.70000000000005</v>
      </c>
      <c r="D120">
        <v>11.778</v>
      </c>
      <c r="E120">
        <v>11.699</v>
      </c>
      <c r="F120">
        <v>21.23</v>
      </c>
    </row>
    <row r="121" spans="1:6" x14ac:dyDescent="0.2">
      <c r="A121" s="4">
        <v>45979.629517175897</v>
      </c>
      <c r="B121">
        <v>284</v>
      </c>
      <c r="C121">
        <v>617.91</v>
      </c>
      <c r="D121">
        <v>11.667999999999999</v>
      </c>
      <c r="E121">
        <v>11.581</v>
      </c>
      <c r="F121">
        <v>21.24</v>
      </c>
    </row>
    <row r="122" spans="1:6" x14ac:dyDescent="0.2">
      <c r="A122" s="4">
        <v>45979.629635833298</v>
      </c>
      <c r="B122">
        <v>536</v>
      </c>
      <c r="C122">
        <v>628.16</v>
      </c>
      <c r="D122">
        <v>11.566000000000001</v>
      </c>
      <c r="E122">
        <v>11.491</v>
      </c>
      <c r="F122">
        <v>21.24</v>
      </c>
    </row>
    <row r="123" spans="1:6" x14ac:dyDescent="0.2">
      <c r="A123" s="4">
        <v>45979.629788240702</v>
      </c>
      <c r="B123">
        <v>704</v>
      </c>
      <c r="C123">
        <v>641.33000000000004</v>
      </c>
      <c r="D123">
        <v>11.462999999999999</v>
      </c>
      <c r="E123">
        <v>11.375</v>
      </c>
      <c r="F123">
        <v>21.24</v>
      </c>
    </row>
    <row r="124" spans="1:6" x14ac:dyDescent="0.2">
      <c r="A124" s="4">
        <v>45979.62989625</v>
      </c>
      <c r="B124">
        <v>36</v>
      </c>
      <c r="C124">
        <v>650.66</v>
      </c>
      <c r="D124">
        <v>11.356999999999999</v>
      </c>
      <c r="E124">
        <v>11.294</v>
      </c>
      <c r="F124">
        <v>21.24</v>
      </c>
    </row>
    <row r="125" spans="1:6" x14ac:dyDescent="0.2">
      <c r="A125" s="4">
        <v>45979.630070208303</v>
      </c>
      <c r="B125">
        <v>66</v>
      </c>
      <c r="C125">
        <v>665.69</v>
      </c>
      <c r="D125">
        <v>11.257</v>
      </c>
      <c r="E125">
        <v>11.164</v>
      </c>
      <c r="F125">
        <v>21.23</v>
      </c>
    </row>
    <row r="126" spans="1:6" x14ac:dyDescent="0.2">
      <c r="A126" s="4">
        <v>45979.630202303197</v>
      </c>
      <c r="B126">
        <v>479</v>
      </c>
      <c r="C126">
        <v>677.11</v>
      </c>
      <c r="D126">
        <v>11.153</v>
      </c>
      <c r="E126">
        <v>11.067</v>
      </c>
      <c r="F126">
        <v>21.23</v>
      </c>
    </row>
    <row r="127" spans="1:6" x14ac:dyDescent="0.2">
      <c r="A127" s="4">
        <v>45979.630355891197</v>
      </c>
      <c r="B127">
        <v>749</v>
      </c>
      <c r="C127">
        <v>690.38</v>
      </c>
      <c r="D127">
        <v>11.051</v>
      </c>
      <c r="E127">
        <v>10.954000000000001</v>
      </c>
      <c r="F127">
        <v>21.24</v>
      </c>
    </row>
    <row r="128" spans="1:6" x14ac:dyDescent="0.2">
      <c r="A128" s="4">
        <v>45979.630475335602</v>
      </c>
      <c r="B128">
        <v>69</v>
      </c>
      <c r="C128">
        <v>700.7</v>
      </c>
      <c r="D128">
        <v>10.949</v>
      </c>
      <c r="E128">
        <v>10.867000000000001</v>
      </c>
      <c r="F128">
        <v>21.24</v>
      </c>
    </row>
    <row r="129" spans="1:6" x14ac:dyDescent="0.2">
      <c r="A129" s="4">
        <v>45979.630616736104</v>
      </c>
      <c r="B129">
        <v>286</v>
      </c>
      <c r="C129">
        <v>712.91</v>
      </c>
      <c r="D129">
        <v>10.849</v>
      </c>
      <c r="E129">
        <v>10.766</v>
      </c>
      <c r="F129">
        <v>21.24</v>
      </c>
    </row>
    <row r="130" spans="1:6" x14ac:dyDescent="0.2">
      <c r="A130" s="4">
        <v>45979.630760208303</v>
      </c>
      <c r="B130">
        <v>682</v>
      </c>
      <c r="C130">
        <v>725.31</v>
      </c>
      <c r="D130">
        <v>10.744</v>
      </c>
      <c r="E130">
        <v>10.663</v>
      </c>
      <c r="F130">
        <v>21.24</v>
      </c>
    </row>
    <row r="131" spans="1:6" x14ac:dyDescent="0.2">
      <c r="A131" s="4">
        <v>45979.6309239236</v>
      </c>
      <c r="B131">
        <v>827</v>
      </c>
      <c r="C131">
        <v>739.46</v>
      </c>
      <c r="D131">
        <v>10.641999999999999</v>
      </c>
      <c r="E131">
        <v>10.547000000000001</v>
      </c>
      <c r="F131">
        <v>21.24</v>
      </c>
    </row>
    <row r="132" spans="1:6" x14ac:dyDescent="0.2">
      <c r="A132" s="4">
        <v>45979.631053020799</v>
      </c>
      <c r="B132">
        <v>981</v>
      </c>
      <c r="C132">
        <v>750.61</v>
      </c>
      <c r="D132">
        <v>10.54</v>
      </c>
      <c r="E132">
        <v>10.457000000000001</v>
      </c>
      <c r="F132">
        <v>21.25</v>
      </c>
    </row>
    <row r="133" spans="1:6" x14ac:dyDescent="0.2">
      <c r="A133" s="4">
        <v>45979.6311941319</v>
      </c>
      <c r="B133">
        <v>173</v>
      </c>
      <c r="C133">
        <v>762.8</v>
      </c>
      <c r="D133">
        <v>10.439</v>
      </c>
      <c r="E133">
        <v>10.359</v>
      </c>
      <c r="F133">
        <v>21.24</v>
      </c>
    </row>
    <row r="134" spans="1:6" x14ac:dyDescent="0.2">
      <c r="A134" s="4">
        <v>45979.631369328701</v>
      </c>
      <c r="B134">
        <v>310</v>
      </c>
      <c r="C134">
        <v>777.94</v>
      </c>
      <c r="D134">
        <v>10.339</v>
      </c>
      <c r="E134">
        <v>10.238</v>
      </c>
      <c r="F134">
        <v>21.24</v>
      </c>
    </row>
    <row r="135" spans="1:6" x14ac:dyDescent="0.2">
      <c r="A135" s="4">
        <v>45979.6314887384</v>
      </c>
      <c r="B135">
        <v>627</v>
      </c>
      <c r="C135">
        <v>788.26</v>
      </c>
      <c r="D135">
        <v>10.234</v>
      </c>
      <c r="E135">
        <v>10.157</v>
      </c>
      <c r="F135">
        <v>21.24</v>
      </c>
    </row>
    <row r="136" spans="1:6" x14ac:dyDescent="0.2">
      <c r="A136" s="4">
        <v>45979.631642025503</v>
      </c>
      <c r="B136">
        <v>871</v>
      </c>
      <c r="C136">
        <v>801.5</v>
      </c>
      <c r="D136">
        <v>10.132</v>
      </c>
      <c r="E136">
        <v>10.053000000000001</v>
      </c>
      <c r="F136">
        <v>21.24</v>
      </c>
    </row>
    <row r="137" spans="1:6" x14ac:dyDescent="0.2">
      <c r="A137" s="4">
        <v>45979.6317938426</v>
      </c>
      <c r="B137">
        <v>988</v>
      </c>
      <c r="C137">
        <v>814.62</v>
      </c>
      <c r="D137">
        <v>10.032</v>
      </c>
      <c r="E137">
        <v>9.9510000000000005</v>
      </c>
      <c r="F137">
        <v>21.24</v>
      </c>
    </row>
    <row r="138" spans="1:6" x14ac:dyDescent="0.2">
      <c r="A138" s="4">
        <v>45979.631947071801</v>
      </c>
      <c r="B138">
        <v>227</v>
      </c>
      <c r="C138">
        <v>827.85</v>
      </c>
      <c r="D138">
        <v>9.9239999999999995</v>
      </c>
      <c r="E138">
        <v>9.8490000000000002</v>
      </c>
      <c r="F138">
        <v>21.24</v>
      </c>
    </row>
    <row r="139" spans="1:6" x14ac:dyDescent="0.2">
      <c r="A139" s="4">
        <v>45979.632099918999</v>
      </c>
      <c r="B139">
        <v>433</v>
      </c>
      <c r="C139">
        <v>841.06</v>
      </c>
      <c r="D139">
        <v>9.82</v>
      </c>
      <c r="E139">
        <v>9.7490000000000006</v>
      </c>
      <c r="F139">
        <v>21.24</v>
      </c>
    </row>
    <row r="140" spans="1:6" x14ac:dyDescent="0.2">
      <c r="A140" s="4">
        <v>45979.632273807903</v>
      </c>
      <c r="B140">
        <v>457</v>
      </c>
      <c r="C140">
        <v>856.08</v>
      </c>
      <c r="D140">
        <v>9.7129999999999992</v>
      </c>
      <c r="E140">
        <v>9.6349999999999998</v>
      </c>
      <c r="F140">
        <v>21.23</v>
      </c>
    </row>
    <row r="141" spans="1:6" x14ac:dyDescent="0.2">
      <c r="A141" s="4">
        <v>45979.632459444401</v>
      </c>
      <c r="B141">
        <v>496</v>
      </c>
      <c r="C141">
        <v>872.12</v>
      </c>
      <c r="D141">
        <v>9.6020000000000003</v>
      </c>
      <c r="E141">
        <v>9.516</v>
      </c>
      <c r="F141">
        <v>21.23</v>
      </c>
    </row>
    <row r="142" spans="1:6" x14ac:dyDescent="0.2">
      <c r="A142" s="4">
        <v>45979.632600810197</v>
      </c>
      <c r="B142">
        <v>710</v>
      </c>
      <c r="C142">
        <v>884.34</v>
      </c>
      <c r="D142">
        <v>9.4979999999999993</v>
      </c>
      <c r="E142">
        <v>9.4250000000000007</v>
      </c>
      <c r="F142">
        <v>21.23</v>
      </c>
    </row>
    <row r="143" spans="1:6" x14ac:dyDescent="0.2">
      <c r="A143" s="4">
        <v>45979.632766574097</v>
      </c>
      <c r="B143">
        <v>32</v>
      </c>
      <c r="C143">
        <v>898.66</v>
      </c>
      <c r="D143">
        <v>9.3930000000000007</v>
      </c>
      <c r="E143">
        <v>9.3209999999999997</v>
      </c>
      <c r="F143">
        <v>21.23</v>
      </c>
    </row>
    <row r="144" spans="1:6" x14ac:dyDescent="0.2">
      <c r="A144" s="4">
        <v>45979.632919120399</v>
      </c>
      <c r="B144">
        <v>212</v>
      </c>
      <c r="C144">
        <v>911.84</v>
      </c>
      <c r="D144">
        <v>9.2919999999999998</v>
      </c>
      <c r="E144">
        <v>9.2249999999999996</v>
      </c>
      <c r="F144">
        <v>21.23</v>
      </c>
    </row>
    <row r="145" spans="1:6" x14ac:dyDescent="0.2">
      <c r="A145" s="4">
        <v>45979.633082002299</v>
      </c>
      <c r="B145">
        <v>285</v>
      </c>
      <c r="C145">
        <v>925.91</v>
      </c>
      <c r="D145">
        <v>9.19</v>
      </c>
      <c r="E145">
        <v>9.1240000000000006</v>
      </c>
      <c r="F145">
        <v>21.23</v>
      </c>
    </row>
    <row r="146" spans="1:6" x14ac:dyDescent="0.2">
      <c r="A146" s="4">
        <v>45979.6332562963</v>
      </c>
      <c r="B146">
        <v>344</v>
      </c>
      <c r="C146">
        <v>940.97</v>
      </c>
      <c r="D146">
        <v>9.0820000000000007</v>
      </c>
      <c r="E146">
        <v>9.0169999999999995</v>
      </c>
      <c r="F146">
        <v>21.23</v>
      </c>
    </row>
    <row r="147" spans="1:6" x14ac:dyDescent="0.2">
      <c r="A147" s="4">
        <v>45979.633441365702</v>
      </c>
      <c r="B147">
        <v>334</v>
      </c>
      <c r="C147">
        <v>956.96</v>
      </c>
      <c r="D147">
        <v>8.9789999999999992</v>
      </c>
      <c r="E147">
        <v>8.9049999999999994</v>
      </c>
      <c r="F147">
        <v>21.23</v>
      </c>
    </row>
    <row r="148" spans="1:6" x14ac:dyDescent="0.2">
      <c r="A148" s="4">
        <v>45979.633627245399</v>
      </c>
      <c r="B148">
        <v>394</v>
      </c>
      <c r="C148">
        <v>973.02</v>
      </c>
      <c r="D148">
        <v>8.8770000000000007</v>
      </c>
      <c r="E148">
        <v>8.7929999999999993</v>
      </c>
      <c r="F148">
        <v>21.23</v>
      </c>
    </row>
    <row r="149" spans="1:6" x14ac:dyDescent="0.2">
      <c r="A149" s="4">
        <v>45979.633790613399</v>
      </c>
      <c r="B149">
        <v>509</v>
      </c>
      <c r="C149">
        <v>987.14</v>
      </c>
      <c r="D149">
        <v>8.7690000000000001</v>
      </c>
      <c r="E149">
        <v>8.6959999999999997</v>
      </c>
      <c r="F149">
        <v>21.23</v>
      </c>
    </row>
    <row r="150" spans="1:6" x14ac:dyDescent="0.2">
      <c r="A150" s="4">
        <v>45979.6339437153</v>
      </c>
      <c r="B150">
        <v>737</v>
      </c>
      <c r="C150">
        <v>1000.36</v>
      </c>
      <c r="D150">
        <v>8.6679999999999993</v>
      </c>
      <c r="E150">
        <v>8.6059999999999999</v>
      </c>
      <c r="F150">
        <v>21.23</v>
      </c>
    </row>
    <row r="151" spans="1:6" x14ac:dyDescent="0.2">
      <c r="A151" s="4">
        <v>45979.634129780097</v>
      </c>
      <c r="B151">
        <v>813</v>
      </c>
      <c r="C151">
        <v>1016.44</v>
      </c>
      <c r="D151">
        <v>8.5679999999999996</v>
      </c>
      <c r="E151">
        <v>8.4979999999999993</v>
      </c>
      <c r="F151">
        <v>21.23</v>
      </c>
    </row>
    <row r="152" spans="1:6" x14ac:dyDescent="0.2">
      <c r="A152" s="4">
        <v>45979.634293472198</v>
      </c>
      <c r="B152">
        <v>956</v>
      </c>
      <c r="C152">
        <v>1030.58</v>
      </c>
      <c r="D152">
        <v>8.4540000000000006</v>
      </c>
      <c r="E152">
        <v>8.4039999999999999</v>
      </c>
      <c r="F152">
        <v>21.23</v>
      </c>
    </row>
    <row r="153" spans="1:6" x14ac:dyDescent="0.2">
      <c r="A153" s="4">
        <v>45979.634500266198</v>
      </c>
      <c r="B153">
        <v>823</v>
      </c>
      <c r="C153">
        <v>1048.45</v>
      </c>
      <c r="D153">
        <v>8.3490000000000002</v>
      </c>
      <c r="E153">
        <v>8.2859999999999996</v>
      </c>
      <c r="F153">
        <v>21.23</v>
      </c>
    </row>
    <row r="154" spans="1:6" x14ac:dyDescent="0.2">
      <c r="A154" s="4">
        <v>45979.634675451402</v>
      </c>
      <c r="B154">
        <v>959</v>
      </c>
      <c r="C154">
        <v>1063.5899999999999</v>
      </c>
      <c r="D154">
        <v>8.2490000000000006</v>
      </c>
      <c r="E154">
        <v>8.1869999999999994</v>
      </c>
      <c r="F154">
        <v>21.22</v>
      </c>
    </row>
    <row r="155" spans="1:6" x14ac:dyDescent="0.2">
      <c r="A155" s="4">
        <v>45979.634849953698</v>
      </c>
      <c r="B155">
        <v>36</v>
      </c>
      <c r="C155">
        <v>1078.6600000000001</v>
      </c>
      <c r="D155">
        <v>8.141</v>
      </c>
      <c r="E155">
        <v>8.09</v>
      </c>
      <c r="F155">
        <v>21.23</v>
      </c>
    </row>
    <row r="156" spans="1:6" x14ac:dyDescent="0.2">
      <c r="A156" s="4">
        <v>45979.635048588003</v>
      </c>
      <c r="B156">
        <v>198</v>
      </c>
      <c r="C156">
        <v>1095.83</v>
      </c>
      <c r="D156">
        <v>8.0399999999999991</v>
      </c>
      <c r="E156">
        <v>7.9809999999999999</v>
      </c>
      <c r="F156">
        <v>21.23</v>
      </c>
    </row>
    <row r="157" spans="1:6" x14ac:dyDescent="0.2">
      <c r="A157" s="4">
        <v>45979.635244756901</v>
      </c>
      <c r="B157">
        <v>147</v>
      </c>
      <c r="C157">
        <v>1112.77</v>
      </c>
      <c r="D157">
        <v>7.9359999999999999</v>
      </c>
      <c r="E157">
        <v>7.8739999999999997</v>
      </c>
      <c r="F157">
        <v>21.22</v>
      </c>
    </row>
    <row r="158" spans="1:6" x14ac:dyDescent="0.2">
      <c r="A158" s="4">
        <v>45979.635451759299</v>
      </c>
      <c r="B158">
        <v>32</v>
      </c>
      <c r="C158">
        <v>1130.6600000000001</v>
      </c>
      <c r="D158">
        <v>7.8150000000000004</v>
      </c>
      <c r="E158">
        <v>7.7629999999999999</v>
      </c>
      <c r="F158">
        <v>21.23</v>
      </c>
    </row>
    <row r="159" spans="1:6" x14ac:dyDescent="0.2">
      <c r="A159" s="4">
        <v>45979.635659224499</v>
      </c>
      <c r="B159">
        <v>957</v>
      </c>
      <c r="C159">
        <v>1148.58</v>
      </c>
      <c r="D159">
        <v>7.7069999999999999</v>
      </c>
      <c r="E159">
        <v>7.6520000000000001</v>
      </c>
      <c r="F159">
        <v>21.22</v>
      </c>
    </row>
    <row r="160" spans="1:6" x14ac:dyDescent="0.2">
      <c r="A160" s="4">
        <v>45979.635844236102</v>
      </c>
      <c r="B160">
        <v>942</v>
      </c>
      <c r="C160">
        <v>1164.57</v>
      </c>
      <c r="D160">
        <v>7.601</v>
      </c>
      <c r="E160">
        <v>7.5549999999999997</v>
      </c>
      <c r="F160">
        <v>21.22</v>
      </c>
    </row>
    <row r="161" spans="1:6" x14ac:dyDescent="0.2">
      <c r="A161" s="4">
        <v>45979.636039907396</v>
      </c>
      <c r="B161">
        <v>848</v>
      </c>
      <c r="C161">
        <v>1181.48</v>
      </c>
      <c r="D161">
        <v>7.4980000000000002</v>
      </c>
      <c r="E161">
        <v>7.4539999999999997</v>
      </c>
      <c r="F161">
        <v>21.22</v>
      </c>
    </row>
    <row r="162" spans="1:6" x14ac:dyDescent="0.2">
      <c r="A162" s="4">
        <v>45979.636237002298</v>
      </c>
      <c r="B162">
        <v>877</v>
      </c>
      <c r="C162">
        <v>1198.5</v>
      </c>
      <c r="D162">
        <v>7.3970000000000002</v>
      </c>
      <c r="E162">
        <v>7.3529999999999998</v>
      </c>
      <c r="F162">
        <v>21.22</v>
      </c>
    </row>
    <row r="163" spans="1:6" x14ac:dyDescent="0.2">
      <c r="A163" s="4">
        <v>45979.636434444401</v>
      </c>
      <c r="B163">
        <v>936</v>
      </c>
      <c r="C163">
        <v>1215.56</v>
      </c>
      <c r="D163">
        <v>7.2910000000000004</v>
      </c>
      <c r="E163">
        <v>7.2530000000000001</v>
      </c>
      <c r="F163">
        <v>21.22</v>
      </c>
    </row>
    <row r="164" spans="1:6" x14ac:dyDescent="0.2">
      <c r="A164" s="4">
        <v>45979.636642662001</v>
      </c>
      <c r="B164">
        <v>926</v>
      </c>
      <c r="C164">
        <v>1233.55</v>
      </c>
      <c r="D164">
        <v>7.1870000000000003</v>
      </c>
      <c r="E164">
        <v>7.149</v>
      </c>
      <c r="F164">
        <v>21.22</v>
      </c>
    </row>
    <row r="165" spans="1:6" x14ac:dyDescent="0.2">
      <c r="A165" s="4">
        <v>45979.636871377297</v>
      </c>
      <c r="B165">
        <v>687</v>
      </c>
      <c r="C165">
        <v>1253.31</v>
      </c>
      <c r="D165">
        <v>7.0810000000000004</v>
      </c>
      <c r="E165">
        <v>7.0359999999999996</v>
      </c>
      <c r="F165">
        <v>21.23</v>
      </c>
    </row>
    <row r="166" spans="1:6" x14ac:dyDescent="0.2">
      <c r="A166" s="4">
        <v>45979.6370684375</v>
      </c>
      <c r="B166">
        <v>713</v>
      </c>
      <c r="C166">
        <v>1270.3399999999999</v>
      </c>
      <c r="D166">
        <v>6.9779999999999998</v>
      </c>
      <c r="E166">
        <v>6.94</v>
      </c>
      <c r="F166">
        <v>21.23</v>
      </c>
    </row>
    <row r="167" spans="1:6" x14ac:dyDescent="0.2">
      <c r="A167" s="4">
        <v>45979.637287488396</v>
      </c>
      <c r="B167">
        <v>639</v>
      </c>
      <c r="C167">
        <v>1289.27</v>
      </c>
      <c r="D167">
        <v>6.8769999999999998</v>
      </c>
      <c r="E167">
        <v>6.835</v>
      </c>
      <c r="F167">
        <v>21.23</v>
      </c>
    </row>
    <row r="168" spans="1:6" x14ac:dyDescent="0.2">
      <c r="A168" s="4">
        <v>45979.637484305596</v>
      </c>
      <c r="B168">
        <v>644</v>
      </c>
      <c r="C168">
        <v>1306.27</v>
      </c>
      <c r="D168">
        <v>6.774</v>
      </c>
      <c r="E168">
        <v>6.742</v>
      </c>
      <c r="F168">
        <v>21.23</v>
      </c>
    </row>
    <row r="169" spans="1:6" x14ac:dyDescent="0.2">
      <c r="A169" s="4">
        <v>45979.637702847198</v>
      </c>
      <c r="B169">
        <v>526</v>
      </c>
      <c r="C169">
        <v>1325.15</v>
      </c>
      <c r="D169">
        <v>6.6689999999999996</v>
      </c>
      <c r="E169">
        <v>6.6390000000000002</v>
      </c>
      <c r="F169">
        <v>21.23</v>
      </c>
    </row>
    <row r="170" spans="1:6" x14ac:dyDescent="0.2">
      <c r="A170" s="4">
        <v>45979.637911064798</v>
      </c>
      <c r="B170">
        <v>516</v>
      </c>
      <c r="C170">
        <v>1343.14</v>
      </c>
      <c r="D170">
        <v>6.5679999999999996</v>
      </c>
      <c r="E170">
        <v>6.5430000000000001</v>
      </c>
      <c r="F170">
        <v>21.23</v>
      </c>
    </row>
    <row r="171" spans="1:6" x14ac:dyDescent="0.2">
      <c r="A171" s="4">
        <v>45979.638130868101</v>
      </c>
      <c r="B171">
        <v>507</v>
      </c>
      <c r="C171">
        <v>1362.14</v>
      </c>
      <c r="D171">
        <v>6.46</v>
      </c>
      <c r="E171">
        <v>6.4420000000000002</v>
      </c>
      <c r="F171">
        <v>21.23</v>
      </c>
    </row>
    <row r="172" spans="1:6" x14ac:dyDescent="0.2">
      <c r="A172" s="4">
        <v>45979.638327233799</v>
      </c>
      <c r="B172">
        <v>473</v>
      </c>
      <c r="C172">
        <v>1379.1</v>
      </c>
      <c r="D172">
        <v>6.3449999999999998</v>
      </c>
      <c r="E172">
        <v>6.3540000000000001</v>
      </c>
      <c r="F172">
        <v>21.23</v>
      </c>
    </row>
    <row r="173" spans="1:6" x14ac:dyDescent="0.2">
      <c r="A173" s="4">
        <v>45979.638591111099</v>
      </c>
      <c r="B173">
        <v>272</v>
      </c>
      <c r="C173">
        <v>1401.9</v>
      </c>
      <c r="D173">
        <v>6.242</v>
      </c>
      <c r="E173">
        <v>6.2370000000000001</v>
      </c>
      <c r="F173">
        <v>21.23</v>
      </c>
    </row>
    <row r="174" spans="1:6" x14ac:dyDescent="0.2">
      <c r="A174" s="4">
        <v>45979.638842928201</v>
      </c>
      <c r="B174">
        <v>29</v>
      </c>
      <c r="C174">
        <v>1423.66</v>
      </c>
      <c r="D174">
        <v>6.141</v>
      </c>
      <c r="E174">
        <v>6.1260000000000003</v>
      </c>
      <c r="F174">
        <v>21.24</v>
      </c>
    </row>
    <row r="175" spans="1:6" x14ac:dyDescent="0.2">
      <c r="A175" s="4">
        <v>45979.639094398102</v>
      </c>
      <c r="B175">
        <v>756</v>
      </c>
      <c r="C175">
        <v>1445.38</v>
      </c>
      <c r="D175">
        <v>6.0350000000000001</v>
      </c>
      <c r="E175">
        <v>6.0179999999999998</v>
      </c>
      <c r="F175">
        <v>21.24</v>
      </c>
    </row>
    <row r="176" spans="1:6" x14ac:dyDescent="0.2">
      <c r="A176" s="4">
        <v>45979.639357685199</v>
      </c>
      <c r="B176">
        <v>504</v>
      </c>
      <c r="C176">
        <v>1468.13</v>
      </c>
      <c r="D176">
        <v>5.931</v>
      </c>
      <c r="E176">
        <v>5.9059999999999997</v>
      </c>
      <c r="F176">
        <v>21.24</v>
      </c>
    </row>
    <row r="177" spans="1:6" x14ac:dyDescent="0.2">
      <c r="A177" s="4">
        <v>45979.639576412002</v>
      </c>
      <c r="B177">
        <v>402</v>
      </c>
      <c r="C177">
        <v>1487.03</v>
      </c>
      <c r="D177">
        <v>5.83</v>
      </c>
      <c r="E177">
        <v>5.8150000000000004</v>
      </c>
      <c r="F177">
        <v>21.24</v>
      </c>
    </row>
    <row r="178" spans="1:6" x14ac:dyDescent="0.2">
      <c r="A178" s="4">
        <v>45979.639805960702</v>
      </c>
      <c r="B178">
        <v>235</v>
      </c>
      <c r="C178">
        <v>1506.86</v>
      </c>
      <c r="D178">
        <v>5.726</v>
      </c>
      <c r="E178">
        <v>5.72</v>
      </c>
      <c r="F178">
        <v>21.23</v>
      </c>
    </row>
    <row r="179" spans="1:6" x14ac:dyDescent="0.2">
      <c r="A179" s="4">
        <v>45979.640070370398</v>
      </c>
      <c r="B179">
        <v>80</v>
      </c>
      <c r="C179">
        <v>1529.71</v>
      </c>
      <c r="D179">
        <v>5.6239999999999997</v>
      </c>
      <c r="E179">
        <v>5.6130000000000004</v>
      </c>
      <c r="F179">
        <v>21.23</v>
      </c>
    </row>
    <row r="180" spans="1:6" x14ac:dyDescent="0.2">
      <c r="A180" s="4">
        <v>45979.640311620402</v>
      </c>
      <c r="B180">
        <v>924</v>
      </c>
      <c r="C180">
        <v>1550.55</v>
      </c>
      <c r="D180">
        <v>5.5190000000000001</v>
      </c>
      <c r="E180">
        <v>5.516</v>
      </c>
      <c r="F180">
        <v>21.23</v>
      </c>
    </row>
    <row r="181" spans="1:6" x14ac:dyDescent="0.2">
      <c r="A181" s="4">
        <v>45979.640586817099</v>
      </c>
      <c r="B181">
        <v>701</v>
      </c>
      <c r="C181">
        <v>1574.33</v>
      </c>
      <c r="D181">
        <v>5.4139999999999997</v>
      </c>
      <c r="E181">
        <v>5.4080000000000004</v>
      </c>
      <c r="F181">
        <v>21.23</v>
      </c>
    </row>
    <row r="182" spans="1:6" x14ac:dyDescent="0.2">
      <c r="A182" s="4">
        <v>45979.640849965297</v>
      </c>
      <c r="B182">
        <v>437</v>
      </c>
      <c r="C182">
        <v>1597.06</v>
      </c>
      <c r="D182">
        <v>5.3079999999999998</v>
      </c>
      <c r="E182">
        <v>5.306</v>
      </c>
      <c r="F182">
        <v>21.23</v>
      </c>
    </row>
    <row r="183" spans="1:6" x14ac:dyDescent="0.2">
      <c r="A183" s="4">
        <v>45979.641123020803</v>
      </c>
      <c r="B183">
        <v>29</v>
      </c>
      <c r="C183">
        <v>1620.66</v>
      </c>
      <c r="D183">
        <v>5.2069999999999999</v>
      </c>
      <c r="E183">
        <v>5.202</v>
      </c>
      <c r="F183">
        <v>21.23</v>
      </c>
    </row>
    <row r="184" spans="1:6" x14ac:dyDescent="0.2">
      <c r="A184" s="4">
        <v>45979.641386655101</v>
      </c>
      <c r="B184">
        <v>807</v>
      </c>
      <c r="C184">
        <v>1643.43</v>
      </c>
      <c r="D184">
        <v>5.1059999999999999</v>
      </c>
      <c r="E184">
        <v>5.1029999999999998</v>
      </c>
      <c r="F184">
        <v>21.23</v>
      </c>
    </row>
    <row r="185" spans="1:6" x14ac:dyDescent="0.2">
      <c r="A185" s="4">
        <v>45979.6416390741</v>
      </c>
      <c r="B185">
        <v>616</v>
      </c>
      <c r="C185">
        <v>1665.24</v>
      </c>
      <c r="D185">
        <v>5.0010000000000003</v>
      </c>
      <c r="E185">
        <v>5.01</v>
      </c>
      <c r="F185">
        <v>21.24</v>
      </c>
    </row>
    <row r="186" spans="1:6" x14ac:dyDescent="0.2">
      <c r="A186" s="4">
        <v>45979.641958205997</v>
      </c>
      <c r="B186">
        <v>189</v>
      </c>
      <c r="C186">
        <v>1692.82</v>
      </c>
      <c r="D186">
        <v>4.8920000000000003</v>
      </c>
      <c r="E186">
        <v>4.8940000000000001</v>
      </c>
      <c r="F186">
        <v>21.24</v>
      </c>
    </row>
    <row r="187" spans="1:6" x14ac:dyDescent="0.2">
      <c r="A187" s="4">
        <v>45979.6422311227</v>
      </c>
      <c r="B187">
        <v>769</v>
      </c>
      <c r="C187">
        <v>1716.4</v>
      </c>
      <c r="D187">
        <v>4.79</v>
      </c>
      <c r="E187">
        <v>4.7969999999999997</v>
      </c>
      <c r="F187">
        <v>21.24</v>
      </c>
    </row>
    <row r="188" spans="1:6" x14ac:dyDescent="0.2">
      <c r="A188" s="4">
        <v>45979.642538703702</v>
      </c>
      <c r="B188">
        <v>344</v>
      </c>
      <c r="C188">
        <v>1742.97</v>
      </c>
      <c r="D188">
        <v>4.6890000000000001</v>
      </c>
      <c r="E188">
        <v>4.6890000000000001</v>
      </c>
      <c r="F188">
        <v>21.24</v>
      </c>
    </row>
    <row r="189" spans="1:6" x14ac:dyDescent="0.2">
      <c r="A189" s="4">
        <v>45979.642779907401</v>
      </c>
      <c r="B189">
        <v>184</v>
      </c>
      <c r="C189">
        <v>1763.81</v>
      </c>
      <c r="D189">
        <v>4.5789999999999997</v>
      </c>
      <c r="E189">
        <v>-99999</v>
      </c>
      <c r="F189">
        <v>21.23</v>
      </c>
    </row>
    <row r="190" spans="1:6" x14ac:dyDescent="0.2">
      <c r="A190" s="4"/>
    </row>
    <row r="191" spans="1:6" x14ac:dyDescent="0.2">
      <c r="A191" s="4"/>
    </row>
    <row r="192" spans="1:6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61635F-B4BF-4D17-A789-26AB3161ADB6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customXml/itemProps2.xml><?xml version="1.0" encoding="utf-8"?>
<ds:datastoreItem xmlns:ds="http://schemas.openxmlformats.org/officeDocument/2006/customXml" ds:itemID="{1B94B15B-62EC-4CA2-A4F9-0A5893D7E1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BB6541-D670-4DD2-8542-E08F5F572B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Patel, Kaizad F</cp:lastModifiedBy>
  <dcterms:created xsi:type="dcterms:W3CDTF">2017-12-12T14:35:01Z</dcterms:created>
  <dcterms:modified xsi:type="dcterms:W3CDTF">2026-08-18T02:42:55Z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
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2" i="1" l="1"/>
  <c r="A53" i="1"/>
</calcChain>
</file>

<file path=xl/sharedStrings.xml><?xml version="1.0" encoding="utf-8"?>
<sst xmlns="http://schemas.openxmlformats.org/spreadsheetml/2006/main" count="114" uniqueCount="103">
  <si>
    <t>KSAT</t>
  </si>
  <si>
    <t>CulturInfo</t>
  </si>
  <si>
    <t>en-US</t>
  </si>
  <si>
    <t>Software Version</t>
  </si>
  <si>
    <t>1.6.5</t>
  </si>
  <si>
    <t>Firmware Version</t>
  </si>
  <si>
    <t>0.0</t>
  </si>
  <si>
    <t>Last setting of the zero point</t>
  </si>
  <si>
    <t>40909</t>
  </si>
  <si>
    <t>Serial Number</t>
  </si>
  <si>
    <t>0000</t>
  </si>
  <si>
    <t>File name</t>
  </si>
  <si>
    <t>KSAT_measurement_F2-BD-A3_001</t>
  </si>
  <si>
    <t>Additional comments</t>
  </si>
  <si>
    <t>MEASUREMENT</t>
  </si>
  <si>
    <t>Mode</t>
  </si>
  <si>
    <t>ConstantHead</t>
  </si>
  <si>
    <t>Sample rate [s]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</si>
  <si>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</si>
  <si>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</si>
  <si>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</si>
  <si>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</si>
  <si>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</si>
  <si>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</si>
  <si>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</si>
  <si>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</si>
  <si>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</si>
  <si>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</si>
  <si>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</si>
  <si>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</si>
  <si>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</si>
  <si>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</si>
  <si>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</si>
  <si>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</si>
  <si>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</si>
  <si>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</si>
  <si>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</si>
  <si>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</si>
  <si>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</si>
  <si>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</si>
  <si>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A_cap_out [cm²]</t>
  </si>
  <si>
    <t>0.224</t>
  </si>
  <si>
    <t>Capillary total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</si>
  <si>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</si>
  <si>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</si>
  <si>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</si>
  <si>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</si>
  <si>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</si>
  <si>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</si>
  <si>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</si>
  <si>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</si>
  <si>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</si>
  <si>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</si>
  <si>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</si>
  <si>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</si>
  <si>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</si>
  <si>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</si>
  <si>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</si>
  <si>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</si>
  <si>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</si>
  <si>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</si>
  <si>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</si>
  <si>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</si>
  <si>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</si>
  <si>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</si>
  <si>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</si>
  <si>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</si>
  <si>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10/16/2025 12:19:52 PM</t>
  </si>
  <si>
    <t>Test duration</t>
  </si>
  <si>
    <t>00:00:59</t>
  </si>
  <si>
    <t>RESULT</t>
  </si>
  <si>
    <t>Water level change rate [cm/d]</t>
  </si>
  <si>
    <t>0.000</t>
  </si>
  <si>
    <t>Average water level decrease per time in burette during constant head percolation [cm/s]</t>
  </si>
  <si>
    <t>R2 [-]</t>
  </si>
  <si>
    <t>NaN</t>
  </si>
  <si>
    <t>coefficient of determination of the exponential pressure head decrease function that is fitted to the observed data</t>
  </si>
  <si>
    <t>Mean flux density [cm/d]</t>
  </si>
  <si>
    <t>Volume of water per area and time that passes  the sample's cross section during constant head percolation [cm³/(cm² s)]</t>
  </si>
  <si>
    <t>Mean pressure head [cm]</t>
  </si>
  <si>
    <t>Temporal mean of water pressure head at the inlet of the sample during constant head percolation [cm]</t>
  </si>
  <si>
    <t>Total system length [cm]</t>
  </si>
  <si>
    <t>Total length of porous media in water percolation: equal to thickness of the inlet plate + height of sample + thickness of outlet plate (if used)</t>
  </si>
  <si>
    <t>Mean pressure head gradient  [-]</t>
  </si>
  <si>
    <t>0.0000</t>
  </si>
  <si>
    <t>Difference of pressure head at inlet and outlet divided by total system length [cm/cm]</t>
  </si>
  <si>
    <t>Ks Total [cm/d]</t>
  </si>
  <si>
    <t>Saturated hydraulic conductivity [cm/d] of the entire system</t>
  </si>
  <si>
    <t>Ks Total [m/s]</t>
  </si>
  <si>
    <t>0.00E+000</t>
  </si>
  <si>
    <t>Saturated hydraulic conductivity [m/s] of the entire system</t>
  </si>
  <si>
    <t>Ks Soil [cm/d]</t>
  </si>
  <si>
    <t>Saturated hydraulic conductivity [cm/d] of the soil sample itself</t>
  </si>
  <si>
    <t>Ks Soil [m/s]</t>
  </si>
  <si>
    <t>Saturated hydraulic conductivity [m/s] of the soil sample itself</t>
  </si>
  <si>
    <t>Saturated hydraulic conductivity [cm/d] of the soil sample  normalized to 10 °C mean field temperature</t>
  </si>
  <si>
    <t>Saturated hydraulic conductivity [m/s] of the soil sample  normalized to 10 °C mean field temperature</t>
  </si>
  <si>
    <t>DATA</t>
  </si>
  <si>
    <t>Date/Time</t>
  </si>
  <si>
    <t>Runtime [s]</t>
  </si>
  <si>
    <t>Pressure Head [cm]</t>
  </si>
  <si>
    <t>Cumulative Discharge Q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</si>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</sst>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5"/>
  <sheetViews>
    <sheetView tabSelected="1" workbookViewId="0">
      <selection activeCell="A6" sqref="A6"/>
    </sheetView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>
        <v>1</v>
      </c>
    </row>
    <row r="14" spans="1:2" x14ac:dyDescent="0.2">
      <c r="A14" t="s">
        <v>18</v>
      </c>
      <c r="B14" t="s">
        <v>19</v>
      </c>
    </row>
    <row r="15" spans="1:2" x14ac:dyDescent="0.2">
      <c r="A15" t="s">
        <v>20</v>
      </c>
      <c r="B15" t="b">
        <v>0</v>
      </c>
    </row>
    <row r="17" spans="1:3" x14ac:dyDescent="0.2">
      <c r="A17" t="s">
        <v>21</v>
      </c>
    </row>
    <row r="18" spans="1:3" x14ac:dyDescent="0.2">
      <c r="A18" t="s">
        <v>22</v>
      </c>
    </row>
    <row r="19" spans="1:3" x14ac:dyDescent="0.2">
      <c r="A19" t="s">
        <v>23</v>
      </c>
      <c r="B19">
        <v>0.5</v>
      </c>
      <c r="C19" t="s">
        <v>24</v>
      </c>
    </row>
    <row r="20" spans="1:3" x14ac:dyDescent="0.2">
      <c r="A20" t="s">
        <v>25</v>
      </c>
      <c r="B20" t="s">
        <v>26</v>
      </c>
      <c r="C20" t="s">
        <v>27</v>
      </c>
    </row>
    <row r="21" spans="1:3" x14ac:dyDescent="0.2">
      <c r="A21" t="s">
        <v>28</v>
      </c>
      <c r="B21" t="s">
        <v>29</v>
      </c>
      <c r="C21" t="s">
        <v>30</v>
      </c>
    </row>
    <row r="22" spans="1:3" x14ac:dyDescent="0.2">
      <c r="A22" t="s">
        <v>31</v>
      </c>
      <c r="B22">
        <v>1</v>
      </c>
      <c r="C22" t="s">
        <v>32</v>
      </c>
    </row>
    <row r="23" spans="1:3" x14ac:dyDescent="0.2">
      <c r="A23" t="s">
        <v>33</v>
      </c>
    </row>
    <row r="24" spans="1:3" x14ac:dyDescent="0.2">
      <c r="A24" t="s">
        <v>34</v>
      </c>
      <c r="B24" t="s">
        <v>35</v>
      </c>
      <c r="C24" t="s">
        <v>36</v>
      </c>
    </row>
    <row r="25" spans="1:3" x14ac:dyDescent="0.2">
      <c r="A25" t="s">
        <v>37</v>
      </c>
      <c r="B25" t="s">
        <v>38</v>
      </c>
      <c r="C25" t="s">
        <v>39</v>
      </c>
    </row>
    <row r="26" spans="1:3" x14ac:dyDescent="0.2">
      <c r="A26" t="s">
        <v>40</v>
      </c>
      <c r="B26" t="s">
        <v>41</v>
      </c>
      <c r="C26" t="s">
        <v>42</v>
      </c>
    </row>
    <row r="27" spans="1:3" x14ac:dyDescent="0.2">
      <c r="A27" t="s">
        <v>43</v>
      </c>
      <c r="B27">
        <v>19.600000381469702</v>
      </c>
      <c r="C27" t="s">
        <v>44</v>
      </c>
    </row>
    <row r="28" spans="1:3" x14ac:dyDescent="0.2">
      <c r="A28" t="s">
        <v>45</v>
      </c>
      <c r="B28">
        <v>22.5</v>
      </c>
      <c r="C28" t="s">
        <v>46</v>
      </c>
    </row>
    <row r="29" spans="1:3" x14ac:dyDescent="0.2">
      <c r="A29" t="s">
        <v>47</v>
      </c>
      <c r="B29">
        <v>5.0999999046325701</v>
      </c>
      <c r="C29" t="s">
        <v>48</v>
      </c>
    </row>
    <row r="30" spans="1:3" x14ac:dyDescent="0.2">
      <c r="A30" t="s">
        <v>49</v>
      </c>
      <c r="B30" t="s">
        <v>50</v>
      </c>
      <c r="C30" t="s">
        <v>51</v>
      </c>
    </row>
    <row r="31" spans="1:3" x14ac:dyDescent="0.2">
      <c r="A31" t="s">
        <v>52</v>
      </c>
      <c r="B31" t="s">
        <v>53</v>
      </c>
      <c r="C31" t="s">
        <v>54</v>
      </c>
    </row>
    <row r="32" spans="1:3" x14ac:dyDescent="0.2">
      <c r="A32" t="s">
        <v>55</v>
      </c>
    </row>
    <row r="33" spans="1:3" x14ac:dyDescent="0.2">
      <c r="A33" t="s">
        <v>56</v>
      </c>
      <c r="B33">
        <v>20</v>
      </c>
      <c r="C33" t="s">
        <v>57</v>
      </c>
    </row>
    <row r="34" spans="1:3" x14ac:dyDescent="0.2">
      <c r="A34" t="s">
        <v>58</v>
      </c>
      <c r="B34">
        <v>14000</v>
      </c>
      <c r="C34" t="s">
        <v>59</v>
      </c>
    </row>
    <row r="35" spans="1:3" x14ac:dyDescent="0.2">
      <c r="A35" t="s">
        <v>60</v>
      </c>
      <c r="B35" t="b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>
        <v>1</v>
      </c>
      <c r="C37" t="s">
        <v>65</v>
      </c>
    </row>
    <row r="38" spans="1:3" x14ac:dyDescent="0.2">
      <c r="A38" t="s">
        <v>66</v>
      </c>
      <c r="B38" s="1" t="s">
        <v>67</v>
      </c>
    </row>
    <row r="39" spans="1:3" x14ac:dyDescent="0.2">
      <c r="A39" t="s">
        <v>68</v>
      </c>
      <c r="B39" s="2" t="s">
        <v>69</v>
      </c>
    </row>
    <row r="41" spans="1:3" x14ac:dyDescent="0.2">
      <c r="A41" t="s">
        <v>70</v>
      </c>
    </row>
    <row r="42" spans="1:3" x14ac:dyDescent="0.2">
      <c r="A42" t="s">
        <v>71</v>
      </c>
      <c r="B42" t="s">
        <v>72</v>
      </c>
      <c r="C42" t="s">
        <v>73</v>
      </c>
    </row>
    <row r="43" spans="1:3" x14ac:dyDescent="0.2">
      <c r="A43" t="s">
        <v>74</v>
      </c>
      <c r="B43" t="s">
        <v>75</v>
      </c>
      <c r="C43" t="s">
        <v>76</v>
      </c>
    </row>
    <row r="44" spans="1:3" x14ac:dyDescent="0.2">
      <c r="A44" t="s">
        <v>77</v>
      </c>
      <c r="B44" t="s">
        <v>72</v>
      </c>
      <c r="C44" t="s">
        <v>78</v>
      </c>
    </row>
    <row r="45" spans="1:3" x14ac:dyDescent="0.2">
      <c r="A45" t="s">
        <v>79</v>
      </c>
      <c r="B45" t="s">
        <v>72</v>
      </c>
      <c r="C45" t="s">
        <v>80</v>
      </c>
    </row>
    <row r="46" spans="1:3" x14ac:dyDescent="0.2">
      <c r="A46" t="s">
        <v>81</v>
      </c>
      <c r="B46" t="s">
        <v>6</v>
      </c>
      <c r="C46" t="s">
        <v>82</v>
      </c>
    </row>
    <row r="47" spans="1:3" x14ac:dyDescent="0.2">
      <c r="A47" t="s">
        <v>83</v>
      </c>
      <c r="B47" t="s">
        <v>84</v>
      </c>
      <c r="C47" t="s">
        <v>85</v>
      </c>
    </row>
    <row r="48" spans="1:3" x14ac:dyDescent="0.2">
      <c r="A48" t="s">
        <v>86</v>
      </c>
      <c r="B48" t="s">
        <v>72</v>
      </c>
      <c r="C48" t="s">
        <v>87</v>
      </c>
    </row>
    <row r="49" spans="1:4" x14ac:dyDescent="0.2">
      <c r="A49" t="s">
        <v>88</v>
      </c>
      <c r="B49" s="3" t="s">
        <v>89</v>
      </c>
      <c r="C49" s="3" t="s">
        <v>90</v>
      </c>
    </row>
    <row r="50" spans="1:4" x14ac:dyDescent="0.2">
      <c r="A50" t="s">
        <v>91</v>
      </c>
      <c r="B50" t="s">
        <v>72</v>
      </c>
      <c r="C50" t="s">
        <v>92</v>
      </c>
    </row>
    <row r="51" spans="1:4" x14ac:dyDescent="0.2">
      <c r="A51" t="s">
        <v>93</v>
      </c>
      <c r="B51" s="3" t="s">
        <v>89</v>
      </c>
      <c r="C51" s="3" t="s">
        <v>94</v>
      </c>
    </row>
    <row r="52" spans="1:4" x14ac:dyDescent="0.2">
      <c r="A52" t="str">
        <f>CONCATENATE("Ks Soil normalized at ",B33," °C [cm/d]")</f>
        <v>Ks Soil normalized at 20 °C [cm/d]</v>
      </c>
      <c r="B52" t="s">
        <v>72</v>
      </c>
      <c r="C52" t="s">
        <v>95</v>
      </c>
    </row>
    <row r="53" spans="1:4" x14ac:dyDescent="0.2">
      <c r="A53" t="str">
        <f>CONCATENATE("Ks Soil normalized at ",B33," °C [m/s]")</f>
        <v>Ks Soil normalized at 20 °C [m/s]</v>
      </c>
      <c r="B53" s="3" t="s">
        <v>89</v>
      </c>
      <c r="C53" s="3" t="s">
        <v>96</v>
      </c>
    </row>
    <row r="55" spans="1:4" x14ac:dyDescent="0.2">
      <c r="A55" t="s">
        <v>97</v>
      </c>
    </row>
    <row r="56" spans="1:4" x14ac:dyDescent="0.2">
      <c r="A56" s="1" t="s">
        <v>98</v>
      </c>
      <c r="B56" t="s">
        <v>99</v>
      </c>
      <c r="C56" t="s">
        <v>100</v>
      </c>
      <c r="D56" t="s">
        <v>101</v>
      </c>
    </row>
    <row r="57" spans="1:4" x14ac:dyDescent="0.2">
      <c r="A57" s="4"/>
    </row>
    <row r="58" spans="1:4" x14ac:dyDescent="0.2">
      <c r="A58" s="4" t="s">
        <v>98</v>
      </c>
      <c r="B58" t="s">
        <v>99</v>
      </c>
      <c r="C58" t="s">
        <v>100</v>
      </c>
      <c r="D58" t="s">
        <v>102</v>
      </c>
    </row>
    <row r="59" spans="1:4" x14ac:dyDescent="0.2">
      <c r="A59" s="4">
        <v>45946.513800833302</v>
      </c>
      <c r="B59">
        <v>0</v>
      </c>
      <c r="C59">
        <v>18.128</v>
      </c>
      <c r="D59">
        <v>20.75</v>
      </c>
    </row>
    <row r="60" spans="1:4" x14ac:dyDescent="0.2">
      <c r="A60" s="4">
        <v>45946.513861828702</v>
      </c>
      <c r="B60">
        <v>0</v>
      </c>
      <c r="C60">
        <v>17.190000000000001</v>
      </c>
      <c r="D60">
        <v>20.75</v>
      </c>
    </row>
    <row r="61" spans="1:4" x14ac:dyDescent="0.2">
      <c r="A61" s="4">
        <v>45946.513873738397</v>
      </c>
      <c r="B61">
        <v>0</v>
      </c>
      <c r="C61">
        <v>17.010000000000002</v>
      </c>
      <c r="D61">
        <v>20.75</v>
      </c>
    </row>
    <row r="62" spans="1:4" x14ac:dyDescent="0.2">
      <c r="A62" s="4">
        <v>45946.513885428198</v>
      </c>
      <c r="B62">
        <v>0</v>
      </c>
      <c r="C62">
        <v>16.908000000000001</v>
      </c>
      <c r="D62">
        <v>20.75</v>
      </c>
    </row>
    <row r="63" spans="1:4" x14ac:dyDescent="0.2">
      <c r="A63" s="4">
        <v>45946.513897233803</v>
      </c>
      <c r="B63">
        <v>0</v>
      </c>
      <c r="C63">
        <v>16.754000000000001</v>
      </c>
      <c r="D63">
        <v>20.75</v>
      </c>
    </row>
    <row r="64" spans="1:4" x14ac:dyDescent="0.2">
      <c r="A64" s="4">
        <v>45946.513908807901</v>
      </c>
      <c r="B64">
        <v>0</v>
      </c>
      <c r="C64">
        <v>16.594000000000001</v>
      </c>
      <c r="D64">
        <v>20.75</v>
      </c>
    </row>
    <row r="65" spans="1:4" x14ac:dyDescent="0.2">
      <c r="A65" s="4">
        <v>45946.513920613397</v>
      </c>
      <c r="B65">
        <v>0</v>
      </c>
      <c r="C65">
        <v>16.5</v>
      </c>
      <c r="D65">
        <v>20.75</v>
      </c>
    </row>
    <row r="66" spans="1:4" x14ac:dyDescent="0.2">
      <c r="A66" s="4">
        <v>45946.513932766196</v>
      </c>
      <c r="B66">
        <v>0</v>
      </c>
      <c r="C66">
        <v>16.346</v>
      </c>
      <c r="D66">
        <v>20.75</v>
      </c>
    </row>
    <row r="67" spans="1:4" x14ac:dyDescent="0.2">
      <c r="A67" s="4">
        <v>45946.513944919003</v>
      </c>
      <c r="B67">
        <v>0</v>
      </c>
      <c r="C67">
        <v>16.21</v>
      </c>
      <c r="D67">
        <v>20.75</v>
      </c>
    </row>
    <row r="68" spans="1:4" x14ac:dyDescent="0.2">
      <c r="A68" s="4">
        <v>45946.513956724499</v>
      </c>
      <c r="B68">
        <v>0</v>
      </c>
      <c r="C68">
        <v>16.119</v>
      </c>
      <c r="D68">
        <v>20.75</v>
      </c>
    </row>
    <row r="69" spans="1:4" x14ac:dyDescent="0.2">
      <c r="A69" s="4">
        <v>45946.513968645799</v>
      </c>
      <c r="B69">
        <v>0</v>
      </c>
      <c r="C69">
        <v>15.993</v>
      </c>
      <c r="D69">
        <v>20.75</v>
      </c>
    </row>
    <row r="70" spans="1:4" x14ac:dyDescent="0.2">
      <c r="A70" s="4">
        <v>45946.513979988398</v>
      </c>
      <c r="B70">
        <v>0</v>
      </c>
      <c r="C70">
        <v>15.872</v>
      </c>
      <c r="D70">
        <v>20.75</v>
      </c>
    </row>
    <row r="71" spans="1:4" x14ac:dyDescent="0.2">
      <c r="A71" s="4">
        <v>45946.513992141197</v>
      </c>
      <c r="B71">
        <v>0</v>
      </c>
      <c r="C71">
        <v>15.795999999999999</v>
      </c>
      <c r="D71">
        <v>20.75</v>
      </c>
    </row>
    <row r="72" spans="1:4" x14ac:dyDescent="0.2">
      <c r="A72" s="4">
        <v>45946.514003715303</v>
      </c>
      <c r="B72">
        <v>0</v>
      </c>
      <c r="C72">
        <v>15.726000000000001</v>
      </c>
      <c r="D72">
        <v>20.75</v>
      </c>
    </row>
    <row r="73" spans="1:4" x14ac:dyDescent="0.2">
      <c r="A73" s="4">
        <v>45946.514015289402</v>
      </c>
      <c r="B73">
        <v>0</v>
      </c>
      <c r="C73">
        <v>15.664999999999999</v>
      </c>
      <c r="D73">
        <v>20.75</v>
      </c>
    </row>
    <row r="74" spans="1:4" x14ac:dyDescent="0.2">
      <c r="A74" s="4">
        <v>45946.514026863399</v>
      </c>
      <c r="B74">
        <v>0</v>
      </c>
      <c r="C74">
        <v>15.61</v>
      </c>
      <c r="D74">
        <v>20.75</v>
      </c>
    </row>
    <row r="75" spans="1:4" x14ac:dyDescent="0.2">
      <c r="A75" s="4">
        <v>45946.514039016198</v>
      </c>
      <c r="B75">
        <v>0</v>
      </c>
      <c r="C75">
        <v>15.555999999999999</v>
      </c>
      <c r="D75">
        <v>20.75</v>
      </c>
    </row>
    <row r="76" spans="1:4" x14ac:dyDescent="0.2">
      <c r="A76" s="4">
        <v>45946.514051284699</v>
      </c>
      <c r="B76">
        <v>0</v>
      </c>
      <c r="C76">
        <v>15.507</v>
      </c>
      <c r="D76">
        <v>20.75</v>
      </c>
    </row>
    <row r="77" spans="1:4" x14ac:dyDescent="0.2">
      <c r="A77" s="4">
        <v>45946.514063090297</v>
      </c>
      <c r="B77">
        <v>0</v>
      </c>
      <c r="C77">
        <v>15.438000000000001</v>
      </c>
      <c r="D77">
        <v>20.75</v>
      </c>
    </row>
    <row r="78" spans="1:4" x14ac:dyDescent="0.2">
      <c r="A78" s="4">
        <v>45946.514074548599</v>
      </c>
      <c r="B78">
        <v>0</v>
      </c>
      <c r="C78">
        <v>15.4</v>
      </c>
      <c r="D78">
        <v>20.75</v>
      </c>
    </row>
    <row r="79" spans="1:4" x14ac:dyDescent="0.2">
      <c r="A79" s="4">
        <v>45946.514086701398</v>
      </c>
      <c r="B79">
        <v>0</v>
      </c>
      <c r="C79">
        <v>15.474</v>
      </c>
      <c r="D79">
        <v>20.75</v>
      </c>
    </row>
    <row r="80" spans="1:4" x14ac:dyDescent="0.2">
      <c r="A80" s="4">
        <v>45946.514098506901</v>
      </c>
      <c r="B80">
        <v>0</v>
      </c>
      <c r="C80">
        <v>15.77</v>
      </c>
      <c r="D80">
        <v>20.75</v>
      </c>
    </row>
    <row r="81" spans="1:4" x14ac:dyDescent="0.2">
      <c r="A81" s="4">
        <v>45946.514110196797</v>
      </c>
      <c r="B81">
        <v>0</v>
      </c>
      <c r="C81">
        <v>16.271999999999998</v>
      </c>
      <c r="D81">
        <v>20.75</v>
      </c>
    </row>
    <row r="82" spans="1:4" x14ac:dyDescent="0.2">
      <c r="A82" s="4">
        <v>45946.514121655098</v>
      </c>
      <c r="B82">
        <v>0</v>
      </c>
      <c r="C82">
        <v>16.635000000000002</v>
      </c>
      <c r="D82">
        <v>20.75</v>
      </c>
    </row>
    <row r="83" spans="1:4" x14ac:dyDescent="0.2">
      <c r="A83" s="4">
        <v>45946.514133692101</v>
      </c>
      <c r="B83">
        <v>0</v>
      </c>
      <c r="C83">
        <v>17.071999999999999</v>
      </c>
      <c r="D83">
        <v>20.75</v>
      </c>
    </row>
    <row r="84" spans="1:4" x14ac:dyDescent="0.2">
      <c r="A84" s="4">
        <v>45946.514145601897</v>
      </c>
      <c r="B84">
        <v>0</v>
      </c>
      <c r="C84">
        <v>17.225000000000001</v>
      </c>
      <c r="D84">
        <v>20.75</v>
      </c>
    </row>
    <row r="85" spans="1:4" x14ac:dyDescent="0.2">
      <c r="A85" s="4">
        <v>45946.5141568287</v>
      </c>
      <c r="B85">
        <v>0</v>
      </c>
      <c r="C85">
        <v>17.259</v>
      </c>
      <c r="D85">
        <v>20.75</v>
      </c>
    </row>
    <row r="86" spans="1:4" x14ac:dyDescent="0.2">
      <c r="A86" s="4">
        <v>45946.514168518501</v>
      </c>
      <c r="B86">
        <v>0</v>
      </c>
      <c r="C86">
        <v>17.294</v>
      </c>
      <c r="D86">
        <v>20.75</v>
      </c>
    </row>
    <row r="87" spans="1:4" x14ac:dyDescent="0.2">
      <c r="A87" s="4">
        <v>45946.514180208302</v>
      </c>
      <c r="B87">
        <v>0</v>
      </c>
      <c r="C87">
        <v>17.314</v>
      </c>
      <c r="D87">
        <v>20.75</v>
      </c>
    </row>
    <row r="88" spans="1:4" x14ac:dyDescent="0.2">
      <c r="A88" s="4">
        <v>45946.514191898103</v>
      </c>
      <c r="B88">
        <v>0</v>
      </c>
      <c r="C88">
        <v>17.34</v>
      </c>
      <c r="D88">
        <v>20.75</v>
      </c>
    </row>
    <row r="89" spans="1:4" x14ac:dyDescent="0.2">
      <c r="A89" s="4">
        <v>45946.514204398103</v>
      </c>
      <c r="B89">
        <v>0</v>
      </c>
      <c r="C89">
        <v>17.344999999999999</v>
      </c>
      <c r="D89">
        <v>20.75</v>
      </c>
    </row>
    <row r="90" spans="1:4" x14ac:dyDescent="0.2">
      <c r="A90" s="4">
        <v>45946.514215740703</v>
      </c>
      <c r="B90">
        <v>0</v>
      </c>
      <c r="C90">
        <v>17.332000000000001</v>
      </c>
      <c r="D90">
        <v>20.75</v>
      </c>
    </row>
    <row r="91" spans="1:4" x14ac:dyDescent="0.2">
      <c r="A91" s="4">
        <v>45946.514227893502</v>
      </c>
      <c r="B91">
        <v>0</v>
      </c>
      <c r="C91">
        <v>17.312000000000001</v>
      </c>
      <c r="D91">
        <v>20.75</v>
      </c>
    </row>
    <row r="92" spans="1:4" x14ac:dyDescent="0.2">
      <c r="A92" s="4">
        <v>45946.514239120399</v>
      </c>
      <c r="B92">
        <v>0</v>
      </c>
      <c r="C92">
        <v>17.03</v>
      </c>
      <c r="D92">
        <v>20.75</v>
      </c>
    </row>
    <row r="93" spans="1:4" x14ac:dyDescent="0.2">
      <c r="A93" s="4">
        <v>45946.514250578701</v>
      </c>
      <c r="B93">
        <v>0</v>
      </c>
      <c r="C93">
        <v>16.832999999999998</v>
      </c>
      <c r="D93">
        <v>20.75</v>
      </c>
    </row>
    <row r="94" spans="1:4" x14ac:dyDescent="0.2">
      <c r="A94" s="4">
        <v>45946.514262037002</v>
      </c>
      <c r="B94">
        <v>0</v>
      </c>
      <c r="C94">
        <v>16.568999999999999</v>
      </c>
      <c r="D94">
        <v>20.75</v>
      </c>
    </row>
    <row r="95" spans="1:4" x14ac:dyDescent="0.2">
      <c r="A95" s="4">
        <v>45946.514322175899</v>
      </c>
      <c r="B95">
        <v>0</v>
      </c>
      <c r="C95">
        <v>15.973000000000001</v>
      </c>
      <c r="D95">
        <v>20.78</v>
      </c>
    </row>
    <row r="96" spans="1:4" x14ac:dyDescent="0.2">
      <c r="A96" s="4">
        <v>45946.514466342604</v>
      </c>
      <c r="B96">
        <v>0</v>
      </c>
      <c r="C96">
        <v>14.736000000000001</v>
      </c>
      <c r="D96">
        <v>20.73</v>
      </c>
    </row>
    <row r="97" spans="1:4" x14ac:dyDescent="0.2">
      <c r="A97" s="4">
        <v>45946.514478611098</v>
      </c>
      <c r="B97">
        <v>0</v>
      </c>
      <c r="C97">
        <v>14.611000000000001</v>
      </c>
      <c r="D97">
        <v>20.73</v>
      </c>
    </row>
    <row r="98" spans="1:4" x14ac:dyDescent="0.2">
      <c r="A98" s="4">
        <v>45946.514490185204</v>
      </c>
      <c r="B98">
        <v>0</v>
      </c>
      <c r="C98">
        <v>14.58</v>
      </c>
      <c r="D98">
        <v>20.73</v>
      </c>
    </row>
    <row r="99" spans="1:4" x14ac:dyDescent="0.2">
      <c r="A99" s="4"/>
    </row>
    <row r="100" spans="1:4" x14ac:dyDescent="0.2">
      <c r="A100" s="4"/>
    </row>
    <row r="101" spans="1:4" x14ac:dyDescent="0.2">
      <c r="A101" s="4"/>
    </row>
    <row r="102" spans="1:4" x14ac:dyDescent="0.2">
      <c r="A102" s="4"/>
    </row>
    <row r="103" spans="1:4" x14ac:dyDescent="0.2">
      <c r="A103" s="4"/>
    </row>
    <row r="104" spans="1:4" x14ac:dyDescent="0.2">
      <c r="A104" s="4"/>
    </row>
    <row r="105" spans="1:4" x14ac:dyDescent="0.2">
      <c r="A105" s="4"/>
    </row>
    <row r="106" spans="1:4" x14ac:dyDescent="0.2">
      <c r="A106" s="4"/>
    </row>
    <row r="107" spans="1:4" x14ac:dyDescent="0.2">
      <c r="A107" s="4"/>
    </row>
    <row r="108" spans="1:4" x14ac:dyDescent="0.2">
      <c r="A108" s="4"/>
    </row>
    <row r="109" spans="1:4" x14ac:dyDescent="0.2">
      <c r="A109" s="4"/>
    </row>
    <row r="110" spans="1:4" x14ac:dyDescent="0.2">
      <c r="A110" s="4"/>
    </row>
    <row r="111" spans="1:4" x14ac:dyDescent="0.2">
      <c r="A111" s="4"/>
    </row>
    <row r="112" spans="1:4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x14ac:dyDescent="0.2">
      <c r="A116" s="4"/>
    </row>
    <row r="117" spans="1:1" x14ac:dyDescent="0.2">
      <c r="A117" s="4"/>
    </row>
    <row r="118" spans="1:1" x14ac:dyDescent="0.2">
      <c r="A118" s="4"/>
    </row>
    <row r="119" spans="1:1" x14ac:dyDescent="0.2">
      <c r="A119" s="4"/>
    </row>
    <row r="120" spans="1:1" x14ac:dyDescent="0.2">
      <c r="A120" s="4"/>
    </row>
    <row r="121" spans="1:1" x14ac:dyDescent="0.2">
      <c r="A121" s="4"/>
    </row>
    <row r="122" spans="1:1" x14ac:dyDescent="0.2">
      <c r="A122" s="4"/>
    </row>
    <row r="123" spans="1:1" x14ac:dyDescent="0.2">
      <c r="A123" s="4"/>
    </row>
    <row r="124" spans="1:1" x14ac:dyDescent="0.2">
      <c r="A124" s="4"/>
    </row>
    <row r="125" spans="1:1" x14ac:dyDescent="0.2">
      <c r="A125" s="4"/>
    </row>
    <row r="126" spans="1:1" x14ac:dyDescent="0.2">
      <c r="A126" s="4"/>
    </row>
    <row r="127" spans="1:1" x14ac:dyDescent="0.2">
      <c r="A127" s="4"/>
    </row>
    <row r="128" spans="1:1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  <row r="605" spans="1:1" x14ac:dyDescent="0.2">
      <c r="A605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860848-7DF6-4004-9224-0A3A26D249D9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2.xml><?xml version="1.0" encoding="utf-8"?>
<ds:datastoreItem xmlns:ds="http://schemas.openxmlformats.org/officeDocument/2006/customXml" ds:itemID="{2BF219FE-65BB-430A-8972-34A8AC1F14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819695-B07F-4A4A-93BD-F4D45C6260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
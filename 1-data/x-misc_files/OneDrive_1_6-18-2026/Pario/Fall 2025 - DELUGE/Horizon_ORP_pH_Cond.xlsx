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marci_garcia_pnnl_gov/Documents/Kenton pH water/"/>
    </mc:Choice>
  </mc:AlternateContent>
  <xr:revisionPtr revIDLastSave="68" documentId="8_{AA9995DF-F6C4-924C-9EFF-1178338FA71A}" xr6:coauthVersionLast="47" xr6:coauthVersionMax="47" xr10:uidLastSave="{A77DD909-66CB-48D9-94BA-46CF701C3C77}"/>
  <bookViews>
    <workbookView xWindow="1360" yWindow="700" windowWidth="17500" windowHeight="10560" xr2:uid="{AC3E41B8-C2C8-CB49-8F0E-6FDE46B7DC43}"/>
  </bookViews>
  <sheets>
    <sheet name="A_Horizon" sheetId="1" r:id="rId1"/>
    <sheet name="B_Horizon" sheetId="2" r:id="rId2"/>
    <sheet name="A_horizon_salt" sheetId="3" r:id="rId3"/>
    <sheet name="B_horizon_Salt" sheetId="4" r:id="rId4"/>
    <sheet name="raw not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L9" i="1"/>
  <c r="L10" i="1" s="1"/>
  <c r="L10" i="2"/>
  <c r="K10" i="2"/>
  <c r="I10" i="2"/>
  <c r="I9" i="2"/>
  <c r="Q2" i="1"/>
  <c r="F18" i="1"/>
  <c r="G18" i="1"/>
  <c r="M2" i="2"/>
  <c r="L2" i="2"/>
  <c r="P2" i="1"/>
  <c r="O2" i="1"/>
  <c r="N2" i="2" l="1"/>
</calcChain>
</file>

<file path=xl/sharedStrings.xml><?xml version="1.0" encoding="utf-8"?>
<sst xmlns="http://schemas.openxmlformats.org/spreadsheetml/2006/main" count="59" uniqueCount="45">
  <si>
    <t>sample name</t>
  </si>
  <si>
    <t>ORP (mV)</t>
  </si>
  <si>
    <t>pH</t>
  </si>
  <si>
    <t>Temp (C)</t>
  </si>
  <si>
    <t>SC2-A-pH 3</t>
  </si>
  <si>
    <t>SC2-A-pH 4</t>
  </si>
  <si>
    <t>SC2-A-pH 5</t>
  </si>
  <si>
    <t>SC2-A-pH 6</t>
  </si>
  <si>
    <t>SC2-A-pH 7</t>
  </si>
  <si>
    <t>SC2-A-pH 8</t>
  </si>
  <si>
    <t>SC2-A-pH 9</t>
  </si>
  <si>
    <t>SC2-A-pH 10</t>
  </si>
  <si>
    <t>to do a moisture tin sample (weigh tin, weigh tin plus moist or air dry soil, put in oven over night at 105C then get oven dry wt)</t>
  </si>
  <si>
    <t>tin tare: 1.05 g
tin+moist soil: 6.05 g
tin+oven dry soil: 4.41 g</t>
  </si>
  <si>
    <t>A horizon</t>
  </si>
  <si>
    <t>tin</t>
  </si>
  <si>
    <t>tin+most</t>
  </si>
  <si>
    <t>tin+oven 100C</t>
  </si>
  <si>
    <t>moist soil</t>
  </si>
  <si>
    <t>oven dry</t>
  </si>
  <si>
    <t>most %</t>
  </si>
  <si>
    <t>Cond (m^s/cm)</t>
  </si>
  <si>
    <t>SC2-B-pH 3</t>
  </si>
  <si>
    <t>SC2-B-pH 4</t>
  </si>
  <si>
    <t>SC2-B-pH 5</t>
  </si>
  <si>
    <t>SC2-B-pH 6</t>
  </si>
  <si>
    <t>SC2-B-pH 7</t>
  </si>
  <si>
    <t>SC2-B-pH 8</t>
  </si>
  <si>
    <t>SC2-B-pH 9</t>
  </si>
  <si>
    <t>SC2-B-pH 10</t>
  </si>
  <si>
    <t>B horizon</t>
  </si>
  <si>
    <t>tin+oven 105C</t>
  </si>
  <si>
    <t>B Horizon weights for bottles 4.22.25</t>
  </si>
  <si>
    <t>initial wet soil (g)</t>
  </si>
  <si>
    <t>volume (ul)</t>
  </si>
  <si>
    <t xml:space="preserve">dilution </t>
  </si>
  <si>
    <t>absorbance (254nm)</t>
  </si>
  <si>
    <t>1.00mm</t>
  </si>
  <si>
    <t>500um</t>
  </si>
  <si>
    <t>250um</t>
  </si>
  <si>
    <t>53um</t>
  </si>
  <si>
    <t>total unsieved particles</t>
  </si>
  <si>
    <t xml:space="preserve">total seved particles </t>
  </si>
  <si>
    <t>B_Horizon Measurment in (g)</t>
  </si>
  <si>
    <t>A_Horizon Measurment in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</si>
</sst>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612F-3679-B74B-ABC4-C9768A275AF7}">
  <dimension ref="A1:Q18"/>
  <sheetViews>
    <sheetView tabSelected="1" topLeftCell="J4" zoomScale="156" workbookViewId="0">
      <selection activeCell="N7" sqref="N7"/>
    </sheetView>
  </sheetViews>
  <sheetFormatPr defaultColWidth="11" defaultRowHeight="16" x14ac:dyDescent="0.4"/>
  <cols>
    <col min="1" max="4" width="11" style="5"/>
    <col min="5" max="5" width="9.1640625" style="5" customWidth="1"/>
    <col min="6" max="6" width="11" style="5"/>
    <col min="7" max="7" width="8.83203125" style="5" customWidth="1"/>
    <col min="8" max="9" width="11" style="5"/>
    <col min="10" max="10" width="10.6640625" style="5" customWidth="1"/>
    <col min="11" max="16384" width="11" style="5"/>
  </cols>
  <sheetData>
    <row r="1" spans="1:17" ht="32.5" thickBot="1" x14ac:dyDescent="0.45">
      <c r="A1" s="5" t="s">
        <v>0</v>
      </c>
      <c r="B1" s="5" t="s">
        <v>1</v>
      </c>
      <c r="C1" s="5" t="s">
        <v>2</v>
      </c>
      <c r="D1" s="5" t="s">
        <v>3</v>
      </c>
      <c r="E1" s="1" t="s">
        <v>21</v>
      </c>
      <c r="F1" s="1" t="s">
        <v>36</v>
      </c>
      <c r="G1" s="1" t="s">
        <v>34</v>
      </c>
      <c r="H1" s="5" t="s">
        <v>35</v>
      </c>
      <c r="K1" s="5" t="s">
        <v>14</v>
      </c>
      <c r="L1" s="2" t="s">
        <v>15</v>
      </c>
      <c r="M1" s="2" t="s">
        <v>16</v>
      </c>
      <c r="N1" s="6" t="s">
        <v>17</v>
      </c>
      <c r="O1" s="2" t="s">
        <v>18</v>
      </c>
      <c r="P1" s="2" t="s">
        <v>19</v>
      </c>
      <c r="Q1" s="3" t="s">
        <v>20</v>
      </c>
    </row>
    <row r="2" spans="1:17" ht="16.5" thickBot="1" x14ac:dyDescent="0.45">
      <c r="A2" s="5" t="s">
        <v>4</v>
      </c>
      <c r="B2" s="5">
        <v>469</v>
      </c>
      <c r="C2" s="5">
        <v>3.2</v>
      </c>
      <c r="D2" s="5">
        <v>20.399999999999999</v>
      </c>
      <c r="E2" s="5">
        <v>378</v>
      </c>
      <c r="L2" s="5">
        <v>1.05</v>
      </c>
      <c r="M2" s="5">
        <v>6.06</v>
      </c>
      <c r="N2" s="5">
        <v>4.41</v>
      </c>
      <c r="O2" s="5">
        <f>M2-L2</f>
        <v>5.01</v>
      </c>
      <c r="P2" s="5">
        <f>N2-L2</f>
        <v>3.3600000000000003</v>
      </c>
      <c r="Q2" s="4">
        <f>((O2-P2)/P2)*100</f>
        <v>49.10714285714284</v>
      </c>
    </row>
    <row r="3" spans="1:17" x14ac:dyDescent="0.4">
      <c r="A3" s="5" t="s">
        <v>5</v>
      </c>
      <c r="B3" s="5">
        <v>431</v>
      </c>
      <c r="C3" s="5">
        <v>3.9</v>
      </c>
      <c r="D3" s="5">
        <v>20.399999999999999</v>
      </c>
      <c r="E3" s="5">
        <v>81.2</v>
      </c>
    </row>
    <row r="4" spans="1:17" x14ac:dyDescent="0.4">
      <c r="A4" s="5" t="s">
        <v>6</v>
      </c>
      <c r="B4" s="5">
        <v>374</v>
      </c>
      <c r="C4" s="5">
        <v>4.8</v>
      </c>
      <c r="D4" s="5">
        <v>20.399999999999999</v>
      </c>
      <c r="E4" s="5">
        <v>11.7</v>
      </c>
    </row>
    <row r="5" spans="1:17" x14ac:dyDescent="0.4">
      <c r="A5" s="5" t="s">
        <v>7</v>
      </c>
      <c r="B5" s="5">
        <v>294</v>
      </c>
      <c r="C5" s="5">
        <v>6</v>
      </c>
      <c r="D5" s="5">
        <v>20.399999999999999</v>
      </c>
      <c r="E5" s="5">
        <v>18.399999999999999</v>
      </c>
      <c r="L5" s="8" t="s">
        <v>44</v>
      </c>
      <c r="M5" s="8"/>
      <c r="N5" s="8"/>
      <c r="O5" s="8"/>
    </row>
    <row r="6" spans="1:17" x14ac:dyDescent="0.4">
      <c r="A6" s="5" t="s">
        <v>8</v>
      </c>
      <c r="B6" s="5">
        <v>248</v>
      </c>
      <c r="C6" s="5">
        <v>7</v>
      </c>
      <c r="D6" s="5">
        <v>20.399999999999999</v>
      </c>
      <c r="E6" s="5">
        <v>71.599999999999994</v>
      </c>
      <c r="L6" s="7" t="s">
        <v>37</v>
      </c>
      <c r="M6" s="7" t="s">
        <v>38</v>
      </c>
      <c r="N6" s="7" t="s">
        <v>39</v>
      </c>
      <c r="O6" s="7" t="s">
        <v>40</v>
      </c>
    </row>
    <row r="7" spans="1:17" x14ac:dyDescent="0.4">
      <c r="A7" s="5" t="s">
        <v>9</v>
      </c>
      <c r="B7" s="5">
        <v>218</v>
      </c>
      <c r="C7" s="5">
        <v>7.6</v>
      </c>
      <c r="D7" s="5">
        <v>20.100000000000001</v>
      </c>
      <c r="E7" s="5">
        <v>133</v>
      </c>
      <c r="L7" s="7">
        <v>0.28999999999999998</v>
      </c>
      <c r="M7" s="7">
        <v>1.36</v>
      </c>
      <c r="N7" s="7">
        <v>6.44</v>
      </c>
      <c r="O7" s="7">
        <v>7.35</v>
      </c>
    </row>
    <row r="8" spans="1:17" x14ac:dyDescent="0.4">
      <c r="A8" s="5" t="s">
        <v>10</v>
      </c>
      <c r="B8" s="5">
        <v>222</v>
      </c>
      <c r="C8" s="5">
        <v>8</v>
      </c>
      <c r="D8" s="5">
        <v>19.989999999999998</v>
      </c>
      <c r="E8" s="5">
        <v>258</v>
      </c>
    </row>
    <row r="9" spans="1:17" x14ac:dyDescent="0.4">
      <c r="A9" s="5" t="s">
        <v>11</v>
      </c>
      <c r="B9" s="5">
        <v>196</v>
      </c>
      <c r="C9" s="5">
        <v>8.1999999999999993</v>
      </c>
      <c r="D9" s="5">
        <v>20.010000000000002</v>
      </c>
      <c r="E9" s="5">
        <v>428</v>
      </c>
      <c r="L9" s="5">
        <f>L7+M7</f>
        <v>1.6500000000000001</v>
      </c>
      <c r="N9" s="10">
        <f>N7/25.5</f>
        <v>0.25254901960784315</v>
      </c>
      <c r="O9" s="10">
        <f>O7/25.5</f>
        <v>0.28823529411764703</v>
      </c>
    </row>
    <row r="10" spans="1:17" x14ac:dyDescent="0.4">
      <c r="L10" s="10">
        <f>L9/25.5</f>
        <v>6.4705882352941183E-2</v>
      </c>
    </row>
    <row r="17" spans="6:7" ht="48" x14ac:dyDescent="0.4">
      <c r="F17" s="1" t="s">
        <v>42</v>
      </c>
      <c r="G17" s="1" t="s">
        <v>41</v>
      </c>
    </row>
    <row r="18" spans="6:7" x14ac:dyDescent="0.4">
      <c r="F18" s="5">
        <f>L7+M7+N7+O7</f>
        <v>15.44</v>
      </c>
      <c r="G18" s="5">
        <f>30-L7-M7-N7-O7</f>
        <v>14.56</v>
      </c>
    </row>
  </sheetData>
  <mergeCells count="1">
    <mergeCell ref="L5:O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AEF9-CA61-124B-8780-34588C236790}">
  <dimension ref="A1:N10"/>
  <sheetViews>
    <sheetView topLeftCell="C1" workbookViewId="0">
      <selection activeCell="I10" sqref="I10"/>
    </sheetView>
  </sheetViews>
  <sheetFormatPr defaultColWidth="11" defaultRowHeight="16" x14ac:dyDescent="0.4"/>
  <cols>
    <col min="1" max="1" width="11" style="5"/>
    <col min="2" max="2" width="7.83203125" style="5" customWidth="1"/>
    <col min="3" max="5" width="11" style="5"/>
    <col min="6" max="6" width="9.1640625" style="5" customWidth="1"/>
    <col min="7" max="10" width="11" style="5"/>
    <col min="11" max="11" width="10.6640625" style="5" customWidth="1"/>
    <col min="12" max="16384" width="11" style="5"/>
  </cols>
  <sheetData>
    <row r="1" spans="1:14" ht="49" customHeight="1" thickBot="1" x14ac:dyDescent="0.45">
      <c r="A1" s="5" t="s">
        <v>0</v>
      </c>
      <c r="B1" s="1" t="s">
        <v>33</v>
      </c>
      <c r="C1" s="5" t="s">
        <v>1</v>
      </c>
      <c r="D1" s="5" t="s">
        <v>2</v>
      </c>
      <c r="E1" s="5" t="s">
        <v>3</v>
      </c>
      <c r="F1" s="1" t="s">
        <v>21</v>
      </c>
      <c r="H1" s="5" t="s">
        <v>30</v>
      </c>
      <c r="I1" s="2" t="s">
        <v>15</v>
      </c>
      <c r="J1" s="2" t="s">
        <v>16</v>
      </c>
      <c r="K1" s="6" t="s">
        <v>31</v>
      </c>
      <c r="L1" s="2" t="s">
        <v>18</v>
      </c>
      <c r="M1" s="2" t="s">
        <v>19</v>
      </c>
      <c r="N1" s="3" t="s">
        <v>20</v>
      </c>
    </row>
    <row r="2" spans="1:14" ht="16.5" thickBot="1" x14ac:dyDescent="0.45">
      <c r="A2" s="5" t="s">
        <v>22</v>
      </c>
      <c r="B2" s="5">
        <v>9.66</v>
      </c>
      <c r="C2" s="5">
        <v>434</v>
      </c>
      <c r="D2" s="5">
        <v>3.1</v>
      </c>
      <c r="E2" s="5">
        <v>18.7</v>
      </c>
      <c r="F2" s="5">
        <v>38.6</v>
      </c>
      <c r="I2" s="5">
        <v>1.28</v>
      </c>
      <c r="J2" s="5">
        <v>20.03</v>
      </c>
      <c r="K2" s="5">
        <v>16.04</v>
      </c>
      <c r="L2" s="5">
        <f>J2-I2</f>
        <v>18.75</v>
      </c>
      <c r="M2" s="5">
        <f>K2-I2</f>
        <v>14.76</v>
      </c>
      <c r="N2" s="4">
        <f>((L2-M2)/M2)*100</f>
        <v>27.032520325203251</v>
      </c>
    </row>
    <row r="3" spans="1:14" x14ac:dyDescent="0.4">
      <c r="A3" s="5" t="s">
        <v>23</v>
      </c>
      <c r="B3" s="5">
        <v>9.49</v>
      </c>
      <c r="C3" s="5">
        <v>415</v>
      </c>
      <c r="D3" s="5">
        <v>3.8</v>
      </c>
      <c r="E3" s="5">
        <v>18.7</v>
      </c>
      <c r="F3" s="5">
        <v>85.6</v>
      </c>
    </row>
    <row r="4" spans="1:14" x14ac:dyDescent="0.4">
      <c r="A4" s="5" t="s">
        <v>24</v>
      </c>
      <c r="B4" s="5">
        <v>9.66</v>
      </c>
      <c r="C4" s="5">
        <v>367</v>
      </c>
      <c r="D4" s="5">
        <v>4.5999999999999996</v>
      </c>
      <c r="E4" s="5">
        <v>19.2</v>
      </c>
      <c r="F4" s="5">
        <v>9.4</v>
      </c>
    </row>
    <row r="5" spans="1:14" x14ac:dyDescent="0.4">
      <c r="A5" s="5" t="s">
        <v>25</v>
      </c>
      <c r="B5" s="5">
        <v>9.6300000000000008</v>
      </c>
      <c r="C5" s="5">
        <v>270</v>
      </c>
      <c r="D5" s="5">
        <v>6</v>
      </c>
      <c r="E5" s="5">
        <v>19.600000000000001</v>
      </c>
      <c r="F5" s="5">
        <v>16.5</v>
      </c>
      <c r="I5" s="8" t="s">
        <v>43</v>
      </c>
      <c r="J5" s="8"/>
      <c r="K5" s="8"/>
      <c r="L5" s="8"/>
    </row>
    <row r="6" spans="1:14" x14ac:dyDescent="0.4">
      <c r="A6" s="5" t="s">
        <v>26</v>
      </c>
      <c r="B6" s="5">
        <v>9.4600000000000009</v>
      </c>
      <c r="C6" s="5">
        <v>248</v>
      </c>
      <c r="D6" s="5">
        <v>6.8</v>
      </c>
      <c r="E6" s="5">
        <v>19.2</v>
      </c>
      <c r="F6" s="5">
        <v>38.6</v>
      </c>
      <c r="I6" s="7" t="s">
        <v>37</v>
      </c>
      <c r="J6" s="7" t="s">
        <v>38</v>
      </c>
      <c r="K6" s="7" t="s">
        <v>39</v>
      </c>
      <c r="L6" s="7" t="s">
        <v>40</v>
      </c>
    </row>
    <row r="7" spans="1:14" x14ac:dyDescent="0.4">
      <c r="A7" s="5" t="s">
        <v>27</v>
      </c>
      <c r="B7" s="5">
        <v>9.5399999999999991</v>
      </c>
      <c r="C7" s="5">
        <v>229</v>
      </c>
      <c r="D7" s="5">
        <v>7.6</v>
      </c>
      <c r="E7" s="5">
        <v>18.100000000000001</v>
      </c>
      <c r="F7" s="5">
        <v>117</v>
      </c>
      <c r="I7" s="7">
        <v>0.04</v>
      </c>
      <c r="J7" s="7">
        <v>5.15</v>
      </c>
      <c r="K7" s="7">
        <v>2.39</v>
      </c>
      <c r="L7" s="7">
        <v>13.58</v>
      </c>
    </row>
    <row r="8" spans="1:14" x14ac:dyDescent="0.4">
      <c r="A8" s="5" t="s">
        <v>28</v>
      </c>
      <c r="B8" s="5">
        <v>9.61</v>
      </c>
      <c r="C8" s="5">
        <v>222</v>
      </c>
      <c r="D8" s="5">
        <v>7.8</v>
      </c>
      <c r="E8" s="5">
        <v>18.8</v>
      </c>
      <c r="F8" s="5">
        <v>145</v>
      </c>
    </row>
    <row r="9" spans="1:14" x14ac:dyDescent="0.4">
      <c r="A9" s="5" t="s">
        <v>29</v>
      </c>
      <c r="B9" s="5">
        <v>9.6</v>
      </c>
      <c r="C9" s="5">
        <v>182</v>
      </c>
      <c r="D9" s="5">
        <v>8.6</v>
      </c>
      <c r="E9" s="5">
        <v>19.2</v>
      </c>
      <c r="F9" s="5">
        <v>337</v>
      </c>
      <c r="I9" s="5">
        <f>I7+J7</f>
        <v>5.19</v>
      </c>
    </row>
    <row r="10" spans="1:14" x14ac:dyDescent="0.4">
      <c r="I10" s="10">
        <f>I9/36.5</f>
        <v>0.14219178082191783</v>
      </c>
      <c r="K10" s="10">
        <f>K7/36.5</f>
        <v>6.5479452054794524E-2</v>
      </c>
      <c r="L10" s="10">
        <f>L7/36.5</f>
        <v>0.37205479452054796</v>
      </c>
    </row>
  </sheetData>
  <mergeCells count="1">
    <mergeCell ref="I5:L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F7BC-F6F3-D04C-9933-5F267AB5503F}">
  <dimension ref="A1"/>
  <sheetViews>
    <sheetView workbookViewId="0"/>
  </sheetViews>
  <sheetFormatPr defaultColWidth="10.6640625" defaultRowHeight="16" x14ac:dyDescent="0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8666-05A2-374A-8FEB-1E15D9E2221D}">
  <dimension ref="A1"/>
  <sheetViews>
    <sheetView workbookViewId="0">
      <selection activeCell="G10" sqref="G10"/>
    </sheetView>
  </sheetViews>
  <sheetFormatPr defaultColWidth="10.6640625" defaultRowHeight="16" x14ac:dyDescent="0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DBC2-014B-9742-B883-CBD9C054C4F1}">
  <dimension ref="A4:C10"/>
  <sheetViews>
    <sheetView workbookViewId="0">
      <selection activeCell="A15" sqref="A15"/>
    </sheetView>
  </sheetViews>
  <sheetFormatPr defaultColWidth="10.6640625" defaultRowHeight="16" x14ac:dyDescent="0.4"/>
  <sheetData>
    <row r="4" spans="1:3" x14ac:dyDescent="0.4">
      <c r="A4" t="s">
        <v>12</v>
      </c>
    </row>
    <row r="6" spans="1:3" ht="119" customHeight="1" x14ac:dyDescent="0.4">
      <c r="A6" s="9" t="s">
        <v>13</v>
      </c>
      <c r="B6" s="9"/>
      <c r="C6" s="9"/>
    </row>
    <row r="10" spans="1:3" x14ac:dyDescent="0.4">
      <c r="A10" t="s">
        <v>32</v>
      </c>
    </row>
  </sheetData>
  <mergeCells count="1">
    <mergeCell ref="A6:C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29A496-67B9-4847-BB2E-2CBF9B52DF80}"/>
</file>

<file path=customXml/itemProps2.xml><?xml version="1.0" encoding="utf-8"?>
<ds:datastoreItem xmlns:ds="http://schemas.openxmlformats.org/officeDocument/2006/customXml" ds:itemID="{6A667CE0-8832-4B3A-9726-6BC0A548C896}"/>
</file>

<file path=customXml/itemProps3.xml><?xml version="1.0" encoding="utf-8"?>
<ds:datastoreItem xmlns:ds="http://schemas.openxmlformats.org/officeDocument/2006/customXml" ds:itemID="{33AF5031-A777-49E7-B7A4-77691649CF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A_Horizon</vt:lpstr>
      <vt:lpstr>B_Horizon</vt:lpstr>
      <vt:lpstr>A_horizon_salt</vt:lpstr>
      <vt:lpstr>B_horizon_Salt</vt:lpstr>
      <vt:lpstr>raw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Marci R</dc:creator>
  <cp:keywords/>
  <dc:description/>
  <cp:lastModifiedBy>Garcia, Marci R</cp:lastModifiedBy>
  <cp:revision/>
  <dcterms:created xsi:type="dcterms:W3CDTF">2025-04-11T21:19:12Z</dcterms:created>
  <dcterms:modified xsi:type="dcterms:W3CDTF">2025-11-23T00:30:21Z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
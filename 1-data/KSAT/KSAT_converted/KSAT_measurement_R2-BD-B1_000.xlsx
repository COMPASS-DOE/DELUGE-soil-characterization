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<sst xmlns="http://schemas.openxmlformats.org/spreadsheetml/2006/main" count="107" uniqueCount="106">
  <si>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</si>
  <si>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</si>
  <si>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</si>
  <si>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</si>
  <si>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</si>
  <si>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</si>
  <si>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</si>
  <si>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</si>
  <si>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</si>
  <si>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</si>
  <si>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</si>
  <si>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</si>
  <si>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KSAT_measurement_R2-BD-B1_000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</si>
  <si>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</si>
  <si>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</si>
  <si>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</si>
  <si>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</si>
  <si>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</si>
  <si>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</si>
  <si>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</si>
  <si>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</si>
  <si>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</si>
  <si>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</si>
  <si>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</si>
  <si>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</si>
  <si>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</si>
  <si>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</si>
  <si>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</si>
  <si>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</si>
  <si>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</si>
  <si>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</si>
  <si>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</si>
  <si>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</si>
  <si>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</si>
  <si>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</si>
  <si>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</si>
  <si>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</si>
  <si>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</si>
  <si>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</si>
  <si>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</si>
  <si>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</si>
  <si>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</si>
  <si>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</si>
  <si>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</si>
  <si>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</si>
  <si>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</si>
  <si>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</si>
  <si>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</si>
  <si>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</si>
  <si>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</si>
  <si>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</si>
  <si>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</si>
  <si>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</si>
  <si>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</si>
  <si>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</si>
  <si>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</si>
  <si>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</si>
  <si>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</si>
  <si>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</si>
  <si>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</si>
  <si>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</si>
  <si>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</si>
  <si>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</si>
  <si>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</si>
  <si>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</si>
  <si>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10/7/2025 2:50:30 PM</t>
  </si>
  <si>
    <t>Test duration</t>
  </si>
  <si>
    <t>00:10:20</t>
  </si>
  <si>
    <t>RESULT</t>
  </si>
  <si>
    <t>Use auto offset adjustment</t>
  </si>
  <si>
    <t>Max offset adjustment [cm]</t>
  </si>
  <si>
    <t>1</t>
  </si>
  <si>
    <t>Fitting Parameter a [cm]</t>
  </si>
  <si>
    <t>17.37</t>
  </si>
  <si>
    <t>coefficient a of the fitted exponential pressure head decrease function y = a * exp(-b*t)+c, where y is the pressure head in cm and t is time in s</t>
  </si>
  <si>
    <t>Fitting Parameter b [s-1]</t>
  </si>
  <si>
    <t>-2.03E-03</t>
  </si>
  <si>
    <t>coefficient b of the fitted exponential pressure head decrease function y = a * exp(-b*t)+c, where y is the pressure head in cm and t is time in s</t>
  </si>
  <si>
    <t>Fitting Parameter c [cm]</t>
  </si>
  <si>
    <t>coefficient c of the fitted exponential pressure head decrease function y = a * exp(-b*t)+c, where y is the pressure head in cm and t is time in s</t>
  </si>
  <si>
    <t>Fitting Parameter r2 [-]</t>
  </si>
  <si>
    <t>1.0000</t>
  </si>
  <si>
    <t>coefficient of determination of the exponential pressure head decrease function that is fitted to the observed data</t>
  </si>
  <si>
    <t>Ks Total [cm/d]</t>
  </si>
  <si>
    <t>250.713</t>
  </si>
  <si>
    <t>Saturated hydraulic conductivity [cm/d] of the entire system</t>
  </si>
  <si>
    <t>Ks Total [m/s]</t>
  </si>
  <si>
    <t>2.92E-05</t>
  </si>
  <si>
    <t>Saturated hydraulic conductivity [m/s] of the entire system</t>
  </si>
  <si>
    <t>Ks Soil [cm/d]</t>
  </si>
  <si>
    <t>206.889</t>
  </si>
  <si>
    <t>Saturated hydraulic conductivity [cm/d] of the soil sample itself</t>
  </si>
  <si>
    <t>Ks Soil [m/s]</t>
  </si>
  <si>
    <t>2.41E-05</t>
  </si>
  <si>
    <t>Saturated hydraulic conductivity [m/s] of the soil sample itself</t>
  </si>
  <si>
    <t>205.585</t>
  </si>
  <si>
    <t>Saturated hydraulic conductivity [cm/d] of the soil sample  normalized to 10 °C mean field temperature</t>
  </si>
  <si>
    <t>2.39E-05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</si>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</sst>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>
      <selection activeCell="A8" sqref="A8"/>
    </sheetView>
  </sheetViews>
  <sheetFormatPr baseColWidth="10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 t="s">
        <v>6</v>
      </c>
    </row>
    <row r="5" spans="1:2" x14ac:dyDescent="0.2">
      <c r="A5" t="s">
        <v>7</v>
      </c>
      <c r="B5" s="6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b">
        <v>0</v>
      </c>
    </row>
    <row r="17" spans="1:3" x14ac:dyDescent="0.2">
      <c r="A17" t="s">
        <v>22</v>
      </c>
    </row>
    <row r="18" spans="1:3" x14ac:dyDescent="0.2">
      <c r="A18" t="s">
        <v>23</v>
      </c>
    </row>
    <row r="19" spans="1:3" x14ac:dyDescent="0.2">
      <c r="A19" t="s">
        <v>24</v>
      </c>
      <c r="B19">
        <v>0.5</v>
      </c>
      <c r="C19" t="s">
        <v>25</v>
      </c>
    </row>
    <row r="20" spans="1:3" x14ac:dyDescent="0.2">
      <c r="A20" t="s">
        <v>26</v>
      </c>
      <c r="B20" t="s">
        <v>27</v>
      </c>
      <c r="C20" t="s">
        <v>28</v>
      </c>
    </row>
    <row r="21" spans="1:3" x14ac:dyDescent="0.2">
      <c r="A21" t="s">
        <v>29</v>
      </c>
      <c r="B21" t="s">
        <v>30</v>
      </c>
      <c r="C21" t="s">
        <v>31</v>
      </c>
    </row>
    <row r="22" spans="1:3" x14ac:dyDescent="0.2">
      <c r="A22" t="s">
        <v>32</v>
      </c>
      <c r="B22">
        <v>1</v>
      </c>
      <c r="C22" t="s">
        <v>33</v>
      </c>
    </row>
    <row r="23" spans="1:3" x14ac:dyDescent="0.2">
      <c r="A23" t="s">
        <v>34</v>
      </c>
    </row>
    <row r="24" spans="1:3" x14ac:dyDescent="0.2">
      <c r="A24" t="s">
        <v>35</v>
      </c>
      <c r="B24" t="s">
        <v>36</v>
      </c>
      <c r="C24" t="s">
        <v>37</v>
      </c>
    </row>
    <row r="25" spans="1:3" x14ac:dyDescent="0.2">
      <c r="A25" t="s">
        <v>38</v>
      </c>
      <c r="B25" t="s">
        <v>39</v>
      </c>
      <c r="C25" t="s">
        <v>40</v>
      </c>
    </row>
    <row r="26" spans="1:3" x14ac:dyDescent="0.2">
      <c r="A26" t="s">
        <v>41</v>
      </c>
      <c r="B26">
        <v>19.600000381469702</v>
      </c>
      <c r="C26" t="s">
        <v>42</v>
      </c>
    </row>
    <row r="27" spans="1:3" x14ac:dyDescent="0.2">
      <c r="A27" t="s">
        <v>43</v>
      </c>
      <c r="B27">
        <v>22.5</v>
      </c>
      <c r="C27" t="s">
        <v>44</v>
      </c>
    </row>
    <row r="28" spans="1:3" x14ac:dyDescent="0.2">
      <c r="A28" t="s">
        <v>45</v>
      </c>
      <c r="B28">
        <v>5.0999999046325701</v>
      </c>
      <c r="C28" t="s">
        <v>46</v>
      </c>
    </row>
    <row r="29" spans="1:3" x14ac:dyDescent="0.2">
      <c r="A29" t="s">
        <v>47</v>
      </c>
      <c r="B29" t="s">
        <v>48</v>
      </c>
      <c r="C29" t="s">
        <v>49</v>
      </c>
    </row>
    <row r="30" spans="1:3" x14ac:dyDescent="0.2">
      <c r="A30" t="s">
        <v>50</v>
      </c>
      <c r="B30" t="s">
        <v>51</v>
      </c>
      <c r="C30" t="s">
        <v>52</v>
      </c>
    </row>
    <row r="31" spans="1:3" x14ac:dyDescent="0.2">
      <c r="A31" t="s">
        <v>53</v>
      </c>
    </row>
    <row r="32" spans="1:3" x14ac:dyDescent="0.2">
      <c r="A32" t="s">
        <v>54</v>
      </c>
      <c r="B32">
        <v>20</v>
      </c>
      <c r="C32" t="s">
        <v>55</v>
      </c>
    </row>
    <row r="33" spans="1:3" x14ac:dyDescent="0.2">
      <c r="A33" t="s">
        <v>56</v>
      </c>
      <c r="B33">
        <v>14000</v>
      </c>
      <c r="C33" t="s">
        <v>57</v>
      </c>
    </row>
    <row r="34" spans="1:3" x14ac:dyDescent="0.2">
      <c r="A34" t="s">
        <v>58</v>
      </c>
      <c r="B34" t="b">
        <v>1</v>
      </c>
      <c r="C34" t="s">
        <v>59</v>
      </c>
    </row>
    <row r="35" spans="1:3" x14ac:dyDescent="0.2">
      <c r="A35" t="s">
        <v>60</v>
      </c>
      <c r="B35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 s="1" t="s">
        <v>65</v>
      </c>
    </row>
    <row r="38" spans="1:3" x14ac:dyDescent="0.2">
      <c r="A38" t="s">
        <v>66</v>
      </c>
      <c r="B38" s="2" t="s">
        <v>67</v>
      </c>
    </row>
    <row r="40" spans="1:3" x14ac:dyDescent="0.2">
      <c r="A40" t="s">
        <v>68</v>
      </c>
    </row>
    <row r="41" spans="1:3" x14ac:dyDescent="0.2">
      <c r="A41" t="s">
        <v>69</v>
      </c>
      <c r="B41" t="b">
        <v>1</v>
      </c>
    </row>
    <row r="42" spans="1:3" x14ac:dyDescent="0.2">
      <c r="A42" t="s">
        <v>70</v>
      </c>
      <c r="B42" t="s">
        <v>71</v>
      </c>
    </row>
    <row r="43" spans="1:3" x14ac:dyDescent="0.2">
      <c r="A43" t="s">
        <v>72</v>
      </c>
      <c r="B43" t="s">
        <v>73</v>
      </c>
      <c r="C43" t="s">
        <v>74</v>
      </c>
    </row>
    <row r="44" spans="1:3" x14ac:dyDescent="0.2">
      <c r="A44" t="s">
        <v>75</v>
      </c>
      <c r="B44" s="3" t="s">
        <v>76</v>
      </c>
      <c r="C44" s="3" t="s">
        <v>77</v>
      </c>
    </row>
    <row r="45" spans="1:3" x14ac:dyDescent="0.2">
      <c r="A45" t="s">
        <v>78</v>
      </c>
      <c r="B45" t="s">
        <v>71</v>
      </c>
      <c r="C45" t="s">
        <v>79</v>
      </c>
    </row>
    <row r="46" spans="1:3" x14ac:dyDescent="0.2">
      <c r="A46" t="s">
        <v>80</v>
      </c>
      <c r="B46" t="s">
        <v>81</v>
      </c>
      <c r="C46" t="s">
        <v>82</v>
      </c>
    </row>
    <row r="47" spans="1:3" x14ac:dyDescent="0.2">
      <c r="A47" t="s">
        <v>83</v>
      </c>
      <c r="B47" t="s">
        <v>84</v>
      </c>
      <c r="C47" t="s">
        <v>85</v>
      </c>
    </row>
    <row r="48" spans="1:3" x14ac:dyDescent="0.2">
      <c r="A48" t="s">
        <v>86</v>
      </c>
      <c r="B48" s="3" t="s">
        <v>87</v>
      </c>
      <c r="C48" s="3" t="s">
        <v>88</v>
      </c>
    </row>
    <row r="49" spans="1:6" x14ac:dyDescent="0.2">
      <c r="A49" t="s">
        <v>89</v>
      </c>
      <c r="B49" t="s">
        <v>90</v>
      </c>
      <c r="C49" t="s">
        <v>91</v>
      </c>
    </row>
    <row r="50" spans="1:6" x14ac:dyDescent="0.2">
      <c r="A50" t="s">
        <v>92</v>
      </c>
      <c r="B50" s="3" t="s">
        <v>93</v>
      </c>
      <c r="C50" s="3" t="s">
        <v>94</v>
      </c>
    </row>
    <row r="51" spans="1:6" x14ac:dyDescent="0.2">
      <c r="A51" t="str">
        <f>CONCATENATE("Ks Soil normalized at ",B32," °C [cm/d]")</f>
        <v>Ks Soil normalized at 20 °C [cm/d]</v>
      </c>
      <c r="B51" t="s">
        <v>95</v>
      </c>
      <c r="C51" t="s">
        <v>96</v>
      </c>
    </row>
    <row r="52" spans="1:6" x14ac:dyDescent="0.2">
      <c r="A52" t="str">
        <f>CONCATENATE("Ks Soil normalized at ",B32," °C [m/s]")</f>
        <v>Ks Soil normalized at 20 °C [m/s]</v>
      </c>
      <c r="B52" s="3" t="s">
        <v>97</v>
      </c>
      <c r="C52" s="3" t="s">
        <v>98</v>
      </c>
    </row>
    <row r="54" spans="1:6" x14ac:dyDescent="0.2">
      <c r="A54" t="s">
        <v>99</v>
      </c>
    </row>
    <row r="55" spans="1:6" x14ac:dyDescent="0.2">
      <c r="A55" s="1" t="s">
        <v>100</v>
      </c>
      <c r="B55" t="s">
        <v>101</v>
      </c>
      <c r="C55" t="s">
        <v>102</v>
      </c>
      <c r="D55" t="s">
        <v>103</v>
      </c>
      <c r="E55" t="s">
        <v>104</v>
      </c>
      <c r="F55" t="s">
        <v>105</v>
      </c>
    </row>
    <row r="56" spans="1:6" x14ac:dyDescent="0.2">
      <c r="A56" s="4">
        <v>45937.618411006901</v>
      </c>
      <c r="B56">
        <v>711</v>
      </c>
      <c r="C56">
        <v>-6.08</v>
      </c>
      <c r="D56">
        <v>-0.16600000000000001</v>
      </c>
      <c r="E56">
        <v>-99999</v>
      </c>
      <c r="F56">
        <v>20.22</v>
      </c>
    </row>
    <row r="57" spans="1:6" x14ac:dyDescent="0.2">
      <c r="A57" s="4">
        <v>45937.618481365702</v>
      </c>
      <c r="B57">
        <v>790</v>
      </c>
      <c r="C57">
        <v>0</v>
      </c>
      <c r="D57">
        <v>16.370999999999999</v>
      </c>
      <c r="E57">
        <v>16.370999999999999</v>
      </c>
      <c r="F57">
        <v>20.22</v>
      </c>
    </row>
    <row r="58" spans="1:6" x14ac:dyDescent="0.2">
      <c r="A58" s="4">
        <v>45937.618517233801</v>
      </c>
      <c r="B58">
        <v>889</v>
      </c>
      <c r="C58">
        <v>3.1</v>
      </c>
      <c r="D58">
        <v>16.260000000000002</v>
      </c>
      <c r="E58">
        <v>16.262</v>
      </c>
      <c r="F58">
        <v>20.22</v>
      </c>
    </row>
    <row r="59" spans="1:6" x14ac:dyDescent="0.2">
      <c r="A59" s="4">
        <v>45937.618548020801</v>
      </c>
      <c r="B59">
        <v>549</v>
      </c>
      <c r="C59">
        <v>5.76</v>
      </c>
      <c r="D59">
        <v>16.158000000000001</v>
      </c>
      <c r="E59">
        <v>16.169</v>
      </c>
      <c r="F59">
        <v>20.22</v>
      </c>
    </row>
    <row r="60" spans="1:6" x14ac:dyDescent="0.2">
      <c r="A60" s="4">
        <v>45937.618590381899</v>
      </c>
      <c r="B60">
        <v>209</v>
      </c>
      <c r="C60">
        <v>9.42</v>
      </c>
      <c r="D60">
        <v>16.047000000000001</v>
      </c>
      <c r="E60">
        <v>16.042000000000002</v>
      </c>
      <c r="F60">
        <v>20.23</v>
      </c>
    </row>
    <row r="61" spans="1:6" x14ac:dyDescent="0.2">
      <c r="A61" s="4">
        <v>45937.6186312153</v>
      </c>
      <c r="B61">
        <v>737</v>
      </c>
      <c r="C61">
        <v>12.95</v>
      </c>
      <c r="D61">
        <v>15.923</v>
      </c>
      <c r="E61">
        <v>15.920999999999999</v>
      </c>
      <c r="F61">
        <v>20.23</v>
      </c>
    </row>
    <row r="62" spans="1:6" x14ac:dyDescent="0.2">
      <c r="A62" s="4">
        <v>45937.618671608798</v>
      </c>
      <c r="B62">
        <v>227</v>
      </c>
      <c r="C62">
        <v>16.440000000000001</v>
      </c>
      <c r="D62">
        <v>15.818</v>
      </c>
      <c r="E62">
        <v>15.802</v>
      </c>
      <c r="F62">
        <v>20.23</v>
      </c>
    </row>
    <row r="63" spans="1:6" x14ac:dyDescent="0.2">
      <c r="A63" s="4">
        <v>45937.618713148098</v>
      </c>
      <c r="B63">
        <v>816</v>
      </c>
      <c r="C63">
        <v>20.03</v>
      </c>
      <c r="D63">
        <v>15.695</v>
      </c>
      <c r="E63">
        <v>15.68</v>
      </c>
      <c r="F63">
        <v>20.23</v>
      </c>
    </row>
    <row r="64" spans="1:6" x14ac:dyDescent="0.2">
      <c r="A64" s="4">
        <v>45937.618753888899</v>
      </c>
      <c r="B64">
        <v>336</v>
      </c>
      <c r="C64">
        <v>23.55</v>
      </c>
      <c r="D64">
        <v>15.58</v>
      </c>
      <c r="E64">
        <v>15.561</v>
      </c>
      <c r="F64">
        <v>20.23</v>
      </c>
    </row>
    <row r="65" spans="1:6" x14ac:dyDescent="0.2">
      <c r="A65" s="4">
        <v>45937.618806319399</v>
      </c>
      <c r="B65">
        <v>866</v>
      </c>
      <c r="C65">
        <v>28.08</v>
      </c>
      <c r="D65">
        <v>15.44</v>
      </c>
      <c r="E65">
        <v>15.41</v>
      </c>
      <c r="F65">
        <v>20.23</v>
      </c>
    </row>
    <row r="66" spans="1:6" x14ac:dyDescent="0.2">
      <c r="A66" s="4">
        <v>45937.618847407401</v>
      </c>
      <c r="B66">
        <v>416</v>
      </c>
      <c r="C66">
        <v>31.63</v>
      </c>
      <c r="D66">
        <v>15.334</v>
      </c>
      <c r="E66">
        <v>15.292</v>
      </c>
      <c r="F66">
        <v>20.23</v>
      </c>
    </row>
    <row r="67" spans="1:6" x14ac:dyDescent="0.2">
      <c r="A67" s="4">
        <v>45937.6188807176</v>
      </c>
      <c r="B67">
        <v>294</v>
      </c>
      <c r="C67">
        <v>34.5</v>
      </c>
      <c r="D67">
        <v>15.218</v>
      </c>
      <c r="E67">
        <v>15.196999999999999</v>
      </c>
      <c r="F67">
        <v>20.23</v>
      </c>
    </row>
    <row r="68" spans="1:6" x14ac:dyDescent="0.2">
      <c r="A68" s="4">
        <v>45937.618922037</v>
      </c>
      <c r="B68">
        <v>864</v>
      </c>
      <c r="C68">
        <v>38.07</v>
      </c>
      <c r="D68">
        <v>15.103999999999999</v>
      </c>
      <c r="E68">
        <v>15.08</v>
      </c>
      <c r="F68">
        <v>20.23</v>
      </c>
    </row>
    <row r="69" spans="1:6" x14ac:dyDescent="0.2">
      <c r="A69" s="4">
        <v>45937.618974687502</v>
      </c>
      <c r="B69">
        <v>413</v>
      </c>
      <c r="C69">
        <v>42.62</v>
      </c>
      <c r="D69">
        <v>14.968999999999999</v>
      </c>
      <c r="E69">
        <v>14.933</v>
      </c>
      <c r="F69">
        <v>20.23</v>
      </c>
    </row>
    <row r="70" spans="1:6" x14ac:dyDescent="0.2">
      <c r="A70" s="4">
        <v>45937.6190158912</v>
      </c>
      <c r="B70">
        <v>973</v>
      </c>
      <c r="C70">
        <v>46.18</v>
      </c>
      <c r="D70">
        <v>14.853999999999999</v>
      </c>
      <c r="E70">
        <v>14.818</v>
      </c>
      <c r="F70">
        <v>20.23</v>
      </c>
    </row>
    <row r="71" spans="1:6" x14ac:dyDescent="0.2">
      <c r="A71" s="4">
        <v>45937.619055937503</v>
      </c>
      <c r="B71">
        <v>433</v>
      </c>
      <c r="C71">
        <v>49.64</v>
      </c>
      <c r="D71">
        <v>14.75</v>
      </c>
      <c r="E71">
        <v>14.708</v>
      </c>
      <c r="F71">
        <v>20.23</v>
      </c>
    </row>
    <row r="72" spans="1:6" x14ac:dyDescent="0.2">
      <c r="A72" s="4">
        <v>45937.6190977199</v>
      </c>
      <c r="B72">
        <v>43</v>
      </c>
      <c r="C72">
        <v>53.25</v>
      </c>
      <c r="D72">
        <v>14.638999999999999</v>
      </c>
      <c r="E72">
        <v>14.593</v>
      </c>
      <c r="F72">
        <v>20.23</v>
      </c>
    </row>
    <row r="73" spans="1:6" x14ac:dyDescent="0.2">
      <c r="A73" s="4">
        <v>45937.619138807902</v>
      </c>
      <c r="B73">
        <v>593</v>
      </c>
      <c r="C73">
        <v>56.8</v>
      </c>
      <c r="D73">
        <v>14.523999999999999</v>
      </c>
      <c r="E73">
        <v>14.481</v>
      </c>
      <c r="F73">
        <v>20.23</v>
      </c>
    </row>
    <row r="74" spans="1:6" x14ac:dyDescent="0.2">
      <c r="A74" s="4">
        <v>45937.619179537003</v>
      </c>
      <c r="B74">
        <v>112</v>
      </c>
      <c r="C74">
        <v>60.32</v>
      </c>
      <c r="D74">
        <v>14.407999999999999</v>
      </c>
      <c r="E74">
        <v>14.371</v>
      </c>
      <c r="F74">
        <v>20.239999999999998</v>
      </c>
    </row>
    <row r="75" spans="1:6" x14ac:dyDescent="0.2">
      <c r="A75" s="4">
        <v>45937.619221435198</v>
      </c>
      <c r="B75">
        <v>732</v>
      </c>
      <c r="C75">
        <v>63.94</v>
      </c>
      <c r="D75">
        <v>14.294</v>
      </c>
      <c r="E75">
        <v>14.259</v>
      </c>
      <c r="F75">
        <v>20.239999999999998</v>
      </c>
    </row>
    <row r="76" spans="1:6" x14ac:dyDescent="0.2">
      <c r="A76" s="4">
        <v>45937.619274097196</v>
      </c>
      <c r="B76">
        <v>282</v>
      </c>
      <c r="C76">
        <v>68.489999999999995</v>
      </c>
      <c r="D76">
        <v>14.154</v>
      </c>
      <c r="E76">
        <v>14.119</v>
      </c>
      <c r="F76">
        <v>20.239999999999998</v>
      </c>
    </row>
    <row r="77" spans="1:6" x14ac:dyDescent="0.2">
      <c r="A77" s="4">
        <v>45937.619315879601</v>
      </c>
      <c r="B77">
        <v>892</v>
      </c>
      <c r="C77">
        <v>72.099999999999994</v>
      </c>
      <c r="D77">
        <v>14.047000000000001</v>
      </c>
      <c r="E77">
        <v>14.007999999999999</v>
      </c>
      <c r="F77">
        <v>20.239999999999998</v>
      </c>
    </row>
    <row r="78" spans="1:6" x14ac:dyDescent="0.2">
      <c r="A78" s="4">
        <v>45937.619356840303</v>
      </c>
      <c r="B78">
        <v>431</v>
      </c>
      <c r="C78">
        <v>75.64</v>
      </c>
      <c r="D78">
        <v>13.94</v>
      </c>
      <c r="E78">
        <v>13.901</v>
      </c>
      <c r="F78">
        <v>20.239999999999998</v>
      </c>
    </row>
    <row r="79" spans="1:6" x14ac:dyDescent="0.2">
      <c r="A79" s="4">
        <v>45937.619397928203</v>
      </c>
      <c r="B79">
        <v>981</v>
      </c>
      <c r="C79">
        <v>79.19</v>
      </c>
      <c r="D79">
        <v>13.832000000000001</v>
      </c>
      <c r="E79">
        <v>13.794</v>
      </c>
      <c r="F79">
        <v>20.239999999999998</v>
      </c>
    </row>
    <row r="80" spans="1:6" x14ac:dyDescent="0.2">
      <c r="A80" s="4">
        <v>45937.619449895799</v>
      </c>
      <c r="B80">
        <v>471</v>
      </c>
      <c r="C80">
        <v>83.68</v>
      </c>
      <c r="D80">
        <v>13.709</v>
      </c>
      <c r="E80">
        <v>13.66</v>
      </c>
      <c r="F80">
        <v>20.239999999999998</v>
      </c>
    </row>
    <row r="81" spans="1:6" x14ac:dyDescent="0.2">
      <c r="A81" s="4">
        <v>45937.619490520803</v>
      </c>
      <c r="B81">
        <v>981</v>
      </c>
      <c r="C81">
        <v>87.19</v>
      </c>
      <c r="D81">
        <v>13.6</v>
      </c>
      <c r="E81">
        <v>13.555999999999999</v>
      </c>
      <c r="F81">
        <v>20.239999999999998</v>
      </c>
    </row>
    <row r="82" spans="1:6" x14ac:dyDescent="0.2">
      <c r="A82" s="4">
        <v>45937.619532175901</v>
      </c>
      <c r="B82">
        <v>580</v>
      </c>
      <c r="C82">
        <v>90.79</v>
      </c>
      <c r="D82">
        <v>13.492000000000001</v>
      </c>
      <c r="E82">
        <v>13.45</v>
      </c>
      <c r="F82">
        <v>20.239999999999998</v>
      </c>
    </row>
    <row r="83" spans="1:6" x14ac:dyDescent="0.2">
      <c r="A83" s="4">
        <v>45937.619573668999</v>
      </c>
      <c r="B83">
        <v>165</v>
      </c>
      <c r="C83">
        <v>94.38</v>
      </c>
      <c r="D83">
        <v>13.377000000000001</v>
      </c>
      <c r="E83">
        <v>13.346</v>
      </c>
      <c r="F83">
        <v>20.239999999999998</v>
      </c>
    </row>
    <row r="84" spans="1:6" x14ac:dyDescent="0.2">
      <c r="A84" s="4">
        <v>45937.619615335701</v>
      </c>
      <c r="B84">
        <v>765</v>
      </c>
      <c r="C84">
        <v>97.98</v>
      </c>
      <c r="D84">
        <v>13.276</v>
      </c>
      <c r="E84">
        <v>13.241</v>
      </c>
      <c r="F84">
        <v>20.239999999999998</v>
      </c>
    </row>
    <row r="85" spans="1:6" x14ac:dyDescent="0.2">
      <c r="A85" s="4">
        <v>45937.619657453703</v>
      </c>
      <c r="B85">
        <v>404</v>
      </c>
      <c r="C85">
        <v>101.61</v>
      </c>
      <c r="D85">
        <v>13.173999999999999</v>
      </c>
      <c r="E85">
        <v>13.135999999999999</v>
      </c>
      <c r="F85">
        <v>20.239999999999998</v>
      </c>
    </row>
    <row r="86" spans="1:6" x14ac:dyDescent="0.2">
      <c r="A86" s="4">
        <v>45937.619710115701</v>
      </c>
      <c r="B86">
        <v>954</v>
      </c>
      <c r="C86">
        <v>106.16</v>
      </c>
      <c r="D86">
        <v>13.04</v>
      </c>
      <c r="E86">
        <v>13.007</v>
      </c>
      <c r="F86">
        <v>20.239999999999998</v>
      </c>
    </row>
    <row r="87" spans="1:6" x14ac:dyDescent="0.2">
      <c r="A87" s="4">
        <v>45937.619751782397</v>
      </c>
      <c r="B87">
        <v>554</v>
      </c>
      <c r="C87">
        <v>109.76</v>
      </c>
      <c r="D87">
        <v>12.938000000000001</v>
      </c>
      <c r="E87">
        <v>12.904999999999999</v>
      </c>
      <c r="F87">
        <v>20.239999999999998</v>
      </c>
    </row>
    <row r="88" spans="1:6" x14ac:dyDescent="0.2">
      <c r="A88" s="4">
        <v>45937.6198045602</v>
      </c>
      <c r="B88">
        <v>114</v>
      </c>
      <c r="C88">
        <v>114.32</v>
      </c>
      <c r="D88">
        <v>12.807</v>
      </c>
      <c r="E88">
        <v>12.776999999999999</v>
      </c>
      <c r="F88">
        <v>20.239999999999998</v>
      </c>
    </row>
    <row r="89" spans="1:6" x14ac:dyDescent="0.2">
      <c r="A89" s="4">
        <v>45937.619857106503</v>
      </c>
      <c r="B89">
        <v>654</v>
      </c>
      <c r="C89">
        <v>118.86</v>
      </c>
      <c r="D89">
        <v>12.702</v>
      </c>
      <c r="E89">
        <v>12.651</v>
      </c>
      <c r="F89">
        <v>20.239999999999998</v>
      </c>
    </row>
    <row r="90" spans="1:6" x14ac:dyDescent="0.2">
      <c r="A90" s="4">
        <v>45937.619897835597</v>
      </c>
      <c r="B90">
        <v>173</v>
      </c>
      <c r="C90">
        <v>122.38</v>
      </c>
      <c r="D90">
        <v>12.593</v>
      </c>
      <c r="E90">
        <v>12.554</v>
      </c>
      <c r="F90">
        <v>20.239999999999998</v>
      </c>
    </row>
    <row r="91" spans="1:6" x14ac:dyDescent="0.2">
      <c r="A91" s="4">
        <v>45937.619951157401</v>
      </c>
      <c r="B91">
        <v>780</v>
      </c>
      <c r="C91">
        <v>126.99</v>
      </c>
      <c r="D91">
        <v>12.472</v>
      </c>
      <c r="E91">
        <v>12.427</v>
      </c>
      <c r="F91">
        <v>20.25</v>
      </c>
    </row>
    <row r="92" spans="1:6" x14ac:dyDescent="0.2">
      <c r="A92" s="4">
        <v>45937.619992719898</v>
      </c>
      <c r="B92">
        <v>371</v>
      </c>
      <c r="C92">
        <v>130.58000000000001</v>
      </c>
      <c r="D92">
        <v>12.362</v>
      </c>
      <c r="E92">
        <v>12.33</v>
      </c>
      <c r="F92">
        <v>20.25</v>
      </c>
    </row>
    <row r="93" spans="1:6" x14ac:dyDescent="0.2">
      <c r="A93" s="4">
        <v>45937.620045381896</v>
      </c>
      <c r="B93">
        <v>921</v>
      </c>
      <c r="C93">
        <v>135.13</v>
      </c>
      <c r="D93">
        <v>12.256</v>
      </c>
      <c r="E93">
        <v>12.208</v>
      </c>
      <c r="F93">
        <v>20.25</v>
      </c>
    </row>
    <row r="94" spans="1:6" x14ac:dyDescent="0.2">
      <c r="A94" s="4">
        <v>45937.6200876273</v>
      </c>
      <c r="B94">
        <v>571</v>
      </c>
      <c r="C94">
        <v>138.78</v>
      </c>
      <c r="D94">
        <v>12.15</v>
      </c>
      <c r="E94">
        <v>12.11</v>
      </c>
      <c r="F94">
        <v>20.25</v>
      </c>
    </row>
    <row r="95" spans="1:6" x14ac:dyDescent="0.2">
      <c r="A95" s="4">
        <v>45937.620132731499</v>
      </c>
      <c r="B95">
        <v>468</v>
      </c>
      <c r="C95">
        <v>142.68</v>
      </c>
      <c r="D95">
        <v>12.048999999999999</v>
      </c>
      <c r="E95">
        <v>12.007</v>
      </c>
      <c r="F95">
        <v>20.25</v>
      </c>
    </row>
    <row r="96" spans="1:6" x14ac:dyDescent="0.2">
      <c r="A96" s="4">
        <v>45937.620185856496</v>
      </c>
      <c r="B96">
        <v>58</v>
      </c>
      <c r="C96">
        <v>147.27000000000001</v>
      </c>
      <c r="D96">
        <v>11.933999999999999</v>
      </c>
      <c r="E96">
        <v>11.887</v>
      </c>
      <c r="F96">
        <v>20.25</v>
      </c>
    </row>
    <row r="97" spans="1:6" x14ac:dyDescent="0.2">
      <c r="A97" s="4">
        <v>45937.6202272917</v>
      </c>
      <c r="B97">
        <v>638</v>
      </c>
      <c r="C97">
        <v>150.85</v>
      </c>
      <c r="D97">
        <v>11.833</v>
      </c>
      <c r="E97">
        <v>11.792999999999999</v>
      </c>
      <c r="F97">
        <v>20.25</v>
      </c>
    </row>
    <row r="98" spans="1:6" x14ac:dyDescent="0.2">
      <c r="A98" s="4">
        <v>45937.620282835604</v>
      </c>
      <c r="B98">
        <v>437</v>
      </c>
      <c r="C98">
        <v>155.65</v>
      </c>
      <c r="D98">
        <v>11.704000000000001</v>
      </c>
      <c r="E98">
        <v>11.669</v>
      </c>
      <c r="F98">
        <v>20.25</v>
      </c>
    </row>
    <row r="99" spans="1:6" x14ac:dyDescent="0.2">
      <c r="A99" s="4">
        <v>45937.620335694402</v>
      </c>
      <c r="B99">
        <v>4</v>
      </c>
      <c r="C99">
        <v>160.21</v>
      </c>
      <c r="D99">
        <v>11.587</v>
      </c>
      <c r="E99">
        <v>11.553000000000001</v>
      </c>
      <c r="F99">
        <v>20.25</v>
      </c>
    </row>
    <row r="100" spans="1:6" x14ac:dyDescent="0.2">
      <c r="A100" s="4">
        <v>45937.620388379597</v>
      </c>
      <c r="B100">
        <v>556</v>
      </c>
      <c r="C100">
        <v>164.77</v>
      </c>
      <c r="D100">
        <v>11.47</v>
      </c>
      <c r="E100">
        <v>11.436999999999999</v>
      </c>
      <c r="F100">
        <v>20.25</v>
      </c>
    </row>
    <row r="101" spans="1:6" x14ac:dyDescent="0.2">
      <c r="A101" s="4">
        <v>45937.620441273102</v>
      </c>
      <c r="B101">
        <v>126</v>
      </c>
      <c r="C101">
        <v>169.34</v>
      </c>
      <c r="D101">
        <v>11.363</v>
      </c>
      <c r="E101">
        <v>11.323</v>
      </c>
      <c r="F101">
        <v>20.260000000000002</v>
      </c>
    </row>
    <row r="102" spans="1:6" x14ac:dyDescent="0.2">
      <c r="A102" s="4">
        <v>45937.620494618102</v>
      </c>
      <c r="B102">
        <v>735</v>
      </c>
      <c r="C102">
        <v>173.95</v>
      </c>
      <c r="D102">
        <v>11.244</v>
      </c>
      <c r="E102">
        <v>11.208</v>
      </c>
      <c r="F102">
        <v>20.260000000000002</v>
      </c>
    </row>
    <row r="103" spans="1:6" x14ac:dyDescent="0.2">
      <c r="A103" s="4">
        <v>45937.620545914397</v>
      </c>
      <c r="B103">
        <v>167</v>
      </c>
      <c r="C103">
        <v>178.38</v>
      </c>
      <c r="D103">
        <v>11.138</v>
      </c>
      <c r="E103">
        <v>11.099</v>
      </c>
      <c r="F103">
        <v>20.260000000000002</v>
      </c>
    </row>
    <row r="104" spans="1:6" x14ac:dyDescent="0.2">
      <c r="A104" s="4">
        <v>45937.620599155103</v>
      </c>
      <c r="B104">
        <v>767</v>
      </c>
      <c r="C104">
        <v>182.98</v>
      </c>
      <c r="D104">
        <v>11.021000000000001</v>
      </c>
      <c r="E104">
        <v>10.986000000000001</v>
      </c>
      <c r="F104">
        <v>20.260000000000002</v>
      </c>
    </row>
    <row r="105" spans="1:6" x14ac:dyDescent="0.2">
      <c r="A105" s="4">
        <v>45937.620652511599</v>
      </c>
      <c r="B105">
        <v>377</v>
      </c>
      <c r="C105">
        <v>187.59</v>
      </c>
      <c r="D105">
        <v>10.9</v>
      </c>
      <c r="E105">
        <v>10.875</v>
      </c>
      <c r="F105">
        <v>20.260000000000002</v>
      </c>
    </row>
    <row r="106" spans="1:6" x14ac:dyDescent="0.2">
      <c r="A106" s="4">
        <v>45937.620706944399</v>
      </c>
      <c r="B106">
        <v>80</v>
      </c>
      <c r="C106">
        <v>192.29</v>
      </c>
      <c r="D106">
        <v>10.78</v>
      </c>
      <c r="E106">
        <v>10.762</v>
      </c>
      <c r="F106">
        <v>20.260000000000002</v>
      </c>
    </row>
    <row r="107" spans="1:6" x14ac:dyDescent="0.2">
      <c r="A107" s="4">
        <v>45937.620762627303</v>
      </c>
      <c r="B107">
        <v>891</v>
      </c>
      <c r="C107">
        <v>197.1</v>
      </c>
      <c r="D107">
        <v>10.678000000000001</v>
      </c>
      <c r="E107">
        <v>10.648</v>
      </c>
      <c r="F107">
        <v>20.260000000000002</v>
      </c>
    </row>
    <row r="108" spans="1:6" x14ac:dyDescent="0.2">
      <c r="A108" s="4">
        <v>45937.620803715297</v>
      </c>
      <c r="B108">
        <v>441</v>
      </c>
      <c r="C108">
        <v>200.65</v>
      </c>
      <c r="D108">
        <v>10.577</v>
      </c>
      <c r="E108">
        <v>10.565</v>
      </c>
      <c r="F108">
        <v>20.260000000000002</v>
      </c>
    </row>
    <row r="109" spans="1:6" x14ac:dyDescent="0.2">
      <c r="A109" s="4">
        <v>45937.620867326397</v>
      </c>
      <c r="B109">
        <v>937</v>
      </c>
      <c r="C109">
        <v>206.15</v>
      </c>
      <c r="D109">
        <v>10.457000000000001</v>
      </c>
      <c r="E109">
        <v>10.436</v>
      </c>
      <c r="F109">
        <v>20.260000000000002</v>
      </c>
    </row>
    <row r="110" spans="1:6" x14ac:dyDescent="0.2">
      <c r="A110" s="4">
        <v>45937.6209237847</v>
      </c>
      <c r="B110">
        <v>815</v>
      </c>
      <c r="C110">
        <v>211.03</v>
      </c>
      <c r="D110">
        <v>10.348000000000001</v>
      </c>
      <c r="E110">
        <v>10.324</v>
      </c>
      <c r="F110">
        <v>20.27</v>
      </c>
    </row>
    <row r="111" spans="1:6" x14ac:dyDescent="0.2">
      <c r="A111" s="4">
        <v>45937.620976678198</v>
      </c>
      <c r="B111">
        <v>385</v>
      </c>
      <c r="C111">
        <v>215.6</v>
      </c>
      <c r="D111">
        <v>10.238</v>
      </c>
      <c r="E111">
        <v>10.218999999999999</v>
      </c>
      <c r="F111">
        <v>20.27</v>
      </c>
    </row>
    <row r="112" spans="1:6" x14ac:dyDescent="0.2">
      <c r="A112" s="4">
        <v>45937.621039143502</v>
      </c>
      <c r="B112">
        <v>782</v>
      </c>
      <c r="C112">
        <v>220.99</v>
      </c>
      <c r="D112">
        <v>10.122</v>
      </c>
      <c r="E112">
        <v>10.097</v>
      </c>
      <c r="F112">
        <v>20.27</v>
      </c>
    </row>
    <row r="113" spans="1:6" x14ac:dyDescent="0.2">
      <c r="A113" s="4">
        <v>45937.621091689798</v>
      </c>
      <c r="B113">
        <v>322</v>
      </c>
      <c r="C113">
        <v>225.53</v>
      </c>
      <c r="D113">
        <v>10.016</v>
      </c>
      <c r="E113">
        <v>9.9960000000000004</v>
      </c>
      <c r="F113">
        <v>20.27</v>
      </c>
    </row>
    <row r="114" spans="1:6" x14ac:dyDescent="0.2">
      <c r="A114" s="4">
        <v>45937.621144004603</v>
      </c>
      <c r="B114">
        <v>842</v>
      </c>
      <c r="C114">
        <v>230.05</v>
      </c>
      <c r="D114">
        <v>9.9090000000000007</v>
      </c>
      <c r="E114">
        <v>9.8949999999999996</v>
      </c>
      <c r="F114">
        <v>20.27</v>
      </c>
    </row>
    <row r="115" spans="1:6" x14ac:dyDescent="0.2">
      <c r="A115" s="4">
        <v>45937.621207071803</v>
      </c>
      <c r="B115">
        <v>291</v>
      </c>
      <c r="C115">
        <v>235.5</v>
      </c>
      <c r="D115">
        <v>9.7859999999999996</v>
      </c>
      <c r="E115">
        <v>9.7759999999999998</v>
      </c>
      <c r="F115">
        <v>20.27</v>
      </c>
    </row>
    <row r="116" spans="1:6" x14ac:dyDescent="0.2">
      <c r="A116" s="4">
        <v>45937.621260659696</v>
      </c>
      <c r="B116">
        <v>921</v>
      </c>
      <c r="C116">
        <v>240.13</v>
      </c>
      <c r="D116">
        <v>9.6820000000000004</v>
      </c>
      <c r="E116">
        <v>9.6750000000000007</v>
      </c>
      <c r="F116">
        <v>20.27</v>
      </c>
    </row>
    <row r="117" spans="1:6" x14ac:dyDescent="0.2">
      <c r="A117" s="4">
        <v>45937.621323692103</v>
      </c>
      <c r="B117">
        <v>367</v>
      </c>
      <c r="C117">
        <v>245.58</v>
      </c>
      <c r="D117">
        <v>9.5730000000000004</v>
      </c>
      <c r="E117">
        <v>9.5579999999999998</v>
      </c>
      <c r="F117">
        <v>20.27</v>
      </c>
    </row>
    <row r="118" spans="1:6" x14ac:dyDescent="0.2">
      <c r="A118" s="4">
        <v>45937.621379594901</v>
      </c>
      <c r="B118">
        <v>197</v>
      </c>
      <c r="C118">
        <v>250.41</v>
      </c>
      <c r="D118">
        <v>9.4659999999999993</v>
      </c>
      <c r="E118">
        <v>9.4550000000000001</v>
      </c>
      <c r="F118">
        <v>20.27</v>
      </c>
    </row>
    <row r="119" spans="1:6" x14ac:dyDescent="0.2">
      <c r="A119" s="4">
        <v>45937.621647881897</v>
      </c>
      <c r="B119">
        <v>377</v>
      </c>
      <c r="C119">
        <v>273.58999999999997</v>
      </c>
      <c r="D119">
        <v>8.9930000000000003</v>
      </c>
      <c r="E119">
        <v>8.9749999999999996</v>
      </c>
      <c r="F119">
        <v>20.27</v>
      </c>
    </row>
    <row r="120" spans="1:6" x14ac:dyDescent="0.2">
      <c r="A120" s="4">
        <v>45937.621713263899</v>
      </c>
      <c r="B120">
        <v>26</v>
      </c>
      <c r="C120">
        <v>279.24</v>
      </c>
      <c r="D120">
        <v>8.8740000000000006</v>
      </c>
      <c r="E120">
        <v>8.8610000000000007</v>
      </c>
      <c r="F120">
        <v>20.27</v>
      </c>
    </row>
    <row r="121" spans="1:6" x14ac:dyDescent="0.2">
      <c r="A121" s="4">
        <v>45937.621778773202</v>
      </c>
      <c r="B121">
        <v>686</v>
      </c>
      <c r="C121">
        <v>284.89999999999998</v>
      </c>
      <c r="D121">
        <v>8.75</v>
      </c>
      <c r="E121">
        <v>8.7490000000000006</v>
      </c>
      <c r="F121">
        <v>20.27</v>
      </c>
    </row>
    <row r="122" spans="1:6" x14ac:dyDescent="0.2">
      <c r="A122" s="4">
        <v>45937.621846157403</v>
      </c>
      <c r="B122">
        <v>508</v>
      </c>
      <c r="C122">
        <v>290.72000000000003</v>
      </c>
      <c r="D122">
        <v>8.6340000000000003</v>
      </c>
      <c r="E122">
        <v>8.6340000000000003</v>
      </c>
      <c r="F122">
        <v>20.27</v>
      </c>
    </row>
    <row r="123" spans="1:6" x14ac:dyDescent="0.2">
      <c r="A123" s="4">
        <v>45937.621911759299</v>
      </c>
      <c r="B123">
        <v>176</v>
      </c>
      <c r="C123">
        <v>296.39</v>
      </c>
      <c r="D123">
        <v>8.5299999999999994</v>
      </c>
      <c r="E123">
        <v>8.5239999999999991</v>
      </c>
      <c r="F123">
        <v>20.27</v>
      </c>
    </row>
    <row r="124" spans="1:6" x14ac:dyDescent="0.2">
      <c r="A124" s="4">
        <v>45937.621977349503</v>
      </c>
      <c r="B124">
        <v>843</v>
      </c>
      <c r="C124">
        <v>302.05</v>
      </c>
      <c r="D124">
        <v>8.423</v>
      </c>
      <c r="E124">
        <v>8.4149999999999991</v>
      </c>
      <c r="F124">
        <v>20.27</v>
      </c>
    </row>
    <row r="125" spans="1:6" x14ac:dyDescent="0.2">
      <c r="A125" s="4">
        <v>45937.622044641197</v>
      </c>
      <c r="B125">
        <v>657</v>
      </c>
      <c r="C125">
        <v>307.87</v>
      </c>
      <c r="D125">
        <v>8.3089999999999993</v>
      </c>
      <c r="E125">
        <v>8.3049999999999997</v>
      </c>
      <c r="F125">
        <v>20.27</v>
      </c>
    </row>
    <row r="126" spans="1:6" x14ac:dyDescent="0.2">
      <c r="A126" s="4">
        <v>45937.622110821801</v>
      </c>
      <c r="B126">
        <v>375</v>
      </c>
      <c r="C126">
        <v>313.58999999999997</v>
      </c>
      <c r="D126">
        <v>8.2059999999999995</v>
      </c>
      <c r="E126">
        <v>8.1980000000000004</v>
      </c>
      <c r="F126">
        <v>20.27</v>
      </c>
    </row>
    <row r="127" spans="1:6" x14ac:dyDescent="0.2">
      <c r="A127" s="4">
        <v>45937.622178078702</v>
      </c>
      <c r="B127">
        <v>186</v>
      </c>
      <c r="C127">
        <v>319.39999999999998</v>
      </c>
      <c r="D127">
        <v>8.0909999999999993</v>
      </c>
      <c r="E127">
        <v>8.09</v>
      </c>
      <c r="F127">
        <v>20.28</v>
      </c>
    </row>
    <row r="128" spans="1:6" x14ac:dyDescent="0.2">
      <c r="A128" s="4">
        <v>45937.622254988397</v>
      </c>
      <c r="B128">
        <v>831</v>
      </c>
      <c r="C128">
        <v>326.04000000000002</v>
      </c>
      <c r="D128">
        <v>7.9710000000000001</v>
      </c>
      <c r="E128">
        <v>7.968</v>
      </c>
      <c r="F128">
        <v>20.28</v>
      </c>
    </row>
    <row r="129" spans="1:6" x14ac:dyDescent="0.2">
      <c r="A129" s="4">
        <v>45937.6223210764</v>
      </c>
      <c r="B129">
        <v>541</v>
      </c>
      <c r="C129">
        <v>331.75</v>
      </c>
      <c r="D129">
        <v>7.8710000000000004</v>
      </c>
      <c r="E129">
        <v>7.8650000000000002</v>
      </c>
      <c r="F129">
        <v>20.28</v>
      </c>
    </row>
    <row r="130" spans="1:6" x14ac:dyDescent="0.2">
      <c r="A130" s="4">
        <v>45937.622387152798</v>
      </c>
      <c r="B130">
        <v>250</v>
      </c>
      <c r="C130">
        <v>337.46</v>
      </c>
      <c r="D130">
        <v>7.7530000000000001</v>
      </c>
      <c r="E130">
        <v>7.7629999999999999</v>
      </c>
      <c r="F130">
        <v>20.28</v>
      </c>
    </row>
    <row r="131" spans="1:6" x14ac:dyDescent="0.2">
      <c r="A131" s="4">
        <v>45937.6224613542</v>
      </c>
      <c r="B131">
        <v>661</v>
      </c>
      <c r="C131">
        <v>343.87</v>
      </c>
      <c r="D131">
        <v>7.641</v>
      </c>
      <c r="E131">
        <v>7.65</v>
      </c>
      <c r="F131">
        <v>20.28</v>
      </c>
    </row>
    <row r="132" spans="1:6" x14ac:dyDescent="0.2">
      <c r="A132" s="4">
        <v>45937.622526724503</v>
      </c>
      <c r="B132">
        <v>309</v>
      </c>
      <c r="C132">
        <v>349.52</v>
      </c>
      <c r="D132">
        <v>7.54</v>
      </c>
      <c r="E132">
        <v>7.5510000000000002</v>
      </c>
      <c r="F132">
        <v>20.28</v>
      </c>
    </row>
    <row r="133" spans="1:6" x14ac:dyDescent="0.2">
      <c r="A133" s="4">
        <v>45937.622600786999</v>
      </c>
      <c r="B133">
        <v>708</v>
      </c>
      <c r="C133">
        <v>355.92</v>
      </c>
      <c r="D133">
        <v>7.43</v>
      </c>
      <c r="E133">
        <v>7.4409999999999998</v>
      </c>
      <c r="F133">
        <v>20.28</v>
      </c>
    </row>
    <row r="134" spans="1:6" x14ac:dyDescent="0.2">
      <c r="A134" s="4">
        <v>45937.6226756713</v>
      </c>
      <c r="B134">
        <v>178</v>
      </c>
      <c r="C134">
        <v>362.39</v>
      </c>
      <c r="D134">
        <v>7.3230000000000004</v>
      </c>
      <c r="E134">
        <v>7.3310000000000004</v>
      </c>
      <c r="F134">
        <v>20.28</v>
      </c>
    </row>
    <row r="135" spans="1:6" x14ac:dyDescent="0.2">
      <c r="A135" s="4">
        <v>45937.622750324103</v>
      </c>
      <c r="B135">
        <v>628</v>
      </c>
      <c r="C135">
        <v>368.84</v>
      </c>
      <c r="D135">
        <v>7.2130000000000001</v>
      </c>
      <c r="E135">
        <v>7.2229999999999999</v>
      </c>
      <c r="F135">
        <v>20.29</v>
      </c>
    </row>
    <row r="136" spans="1:6" x14ac:dyDescent="0.2">
      <c r="A136" s="4">
        <v>45937.6228249653</v>
      </c>
      <c r="B136">
        <v>77</v>
      </c>
      <c r="C136">
        <v>375.29</v>
      </c>
      <c r="D136">
        <v>7.1050000000000004</v>
      </c>
      <c r="E136">
        <v>7.1159999999999997</v>
      </c>
      <c r="F136">
        <v>20.29</v>
      </c>
    </row>
    <row r="137" spans="1:6" x14ac:dyDescent="0.2">
      <c r="A137" s="4">
        <v>45937.622899386603</v>
      </c>
      <c r="B137">
        <v>507</v>
      </c>
      <c r="C137">
        <v>381.72</v>
      </c>
      <c r="D137">
        <v>6.9980000000000002</v>
      </c>
      <c r="E137">
        <v>7.0110000000000001</v>
      </c>
      <c r="F137">
        <v>20.29</v>
      </c>
    </row>
    <row r="138" spans="1:6" x14ac:dyDescent="0.2">
      <c r="A138" s="4">
        <v>45937.622974039397</v>
      </c>
      <c r="B138">
        <v>957</v>
      </c>
      <c r="C138">
        <v>388.17</v>
      </c>
      <c r="D138">
        <v>6.8949999999999996</v>
      </c>
      <c r="E138">
        <v>6.907</v>
      </c>
      <c r="F138">
        <v>20.29</v>
      </c>
    </row>
    <row r="139" spans="1:6" x14ac:dyDescent="0.2">
      <c r="A139" s="4">
        <v>45937.623059027799</v>
      </c>
      <c r="B139">
        <v>300</v>
      </c>
      <c r="C139">
        <v>395.51</v>
      </c>
      <c r="D139">
        <v>6.7850000000000001</v>
      </c>
      <c r="E139">
        <v>6.79</v>
      </c>
      <c r="F139">
        <v>20.29</v>
      </c>
    </row>
    <row r="140" spans="1:6" x14ac:dyDescent="0.2">
      <c r="A140" s="4">
        <v>45937.623123495403</v>
      </c>
      <c r="B140">
        <v>870</v>
      </c>
      <c r="C140">
        <v>401.08</v>
      </c>
      <c r="D140">
        <v>6.6820000000000004</v>
      </c>
      <c r="E140">
        <v>6.702</v>
      </c>
      <c r="F140">
        <v>20.29</v>
      </c>
    </row>
    <row r="141" spans="1:6" x14ac:dyDescent="0.2">
      <c r="A141" s="4">
        <v>45937.623208912002</v>
      </c>
      <c r="B141">
        <v>250</v>
      </c>
      <c r="C141">
        <v>408.46</v>
      </c>
      <c r="D141">
        <v>6.5679999999999996</v>
      </c>
      <c r="E141">
        <v>6.5880000000000001</v>
      </c>
      <c r="F141">
        <v>20.29</v>
      </c>
    </row>
    <row r="142" spans="1:6" x14ac:dyDescent="0.2">
      <c r="A142" s="4">
        <v>45937.623283564797</v>
      </c>
      <c r="B142">
        <v>700</v>
      </c>
      <c r="C142">
        <v>414.91</v>
      </c>
      <c r="D142">
        <v>6.4649999999999999</v>
      </c>
      <c r="E142">
        <v>6.4889999999999999</v>
      </c>
      <c r="F142">
        <v>20.29</v>
      </c>
    </row>
    <row r="143" spans="1:6" x14ac:dyDescent="0.2">
      <c r="A143" s="4">
        <v>45937.623368506902</v>
      </c>
      <c r="B143">
        <v>39</v>
      </c>
      <c r="C143">
        <v>422.25</v>
      </c>
      <c r="D143">
        <v>6.36</v>
      </c>
      <c r="E143">
        <v>6.3789999999999996</v>
      </c>
      <c r="F143">
        <v>20.29</v>
      </c>
    </row>
    <row r="144" spans="1:6" x14ac:dyDescent="0.2">
      <c r="A144" s="4">
        <v>45937.623442812503</v>
      </c>
      <c r="B144">
        <v>459</v>
      </c>
      <c r="C144">
        <v>428.67</v>
      </c>
      <c r="D144">
        <v>6.2430000000000003</v>
      </c>
      <c r="E144">
        <v>6.2830000000000004</v>
      </c>
      <c r="F144">
        <v>20.3</v>
      </c>
    </row>
    <row r="145" spans="1:6" x14ac:dyDescent="0.2">
      <c r="A145" s="4">
        <v>45937.6235390972</v>
      </c>
      <c r="B145">
        <v>778</v>
      </c>
      <c r="C145">
        <v>436.99</v>
      </c>
      <c r="D145">
        <v>6.1319999999999997</v>
      </c>
      <c r="E145">
        <v>6.1609999999999996</v>
      </c>
      <c r="F145">
        <v>20.29</v>
      </c>
    </row>
    <row r="146" spans="1:6" x14ac:dyDescent="0.2">
      <c r="A146" s="4">
        <v>45937.6236358565</v>
      </c>
      <c r="B146">
        <v>138</v>
      </c>
      <c r="C146">
        <v>445.35</v>
      </c>
      <c r="D146">
        <v>6.0190000000000001</v>
      </c>
      <c r="E146">
        <v>6.0410000000000004</v>
      </c>
      <c r="F146">
        <v>20.29</v>
      </c>
    </row>
    <row r="147" spans="1:6" x14ac:dyDescent="0.2">
      <c r="A147" s="4">
        <v>45937.623731111104</v>
      </c>
      <c r="B147">
        <v>368</v>
      </c>
      <c r="C147">
        <v>453.58</v>
      </c>
      <c r="D147">
        <v>5.9059999999999997</v>
      </c>
      <c r="E147">
        <v>5.9249999999999998</v>
      </c>
      <c r="F147">
        <v>20.29</v>
      </c>
    </row>
    <row r="148" spans="1:6" x14ac:dyDescent="0.2">
      <c r="A148" s="4">
        <v>45937.623827986099</v>
      </c>
      <c r="B148">
        <v>738</v>
      </c>
      <c r="C148">
        <v>461.95</v>
      </c>
      <c r="D148">
        <v>5.7930000000000001</v>
      </c>
      <c r="E148">
        <v>5.8079999999999998</v>
      </c>
      <c r="F148">
        <v>20.29</v>
      </c>
    </row>
    <row r="149" spans="1:6" x14ac:dyDescent="0.2">
      <c r="A149" s="4">
        <v>45937.623913634299</v>
      </c>
      <c r="B149">
        <v>138</v>
      </c>
      <c r="C149">
        <v>469.35</v>
      </c>
      <c r="D149">
        <v>5.6890000000000001</v>
      </c>
      <c r="E149">
        <v>5.7069999999999999</v>
      </c>
      <c r="F149">
        <v>20.29</v>
      </c>
    </row>
    <row r="150" spans="1:6" x14ac:dyDescent="0.2">
      <c r="A150" s="4">
        <v>45937.623999502299</v>
      </c>
      <c r="B150">
        <v>557</v>
      </c>
      <c r="C150">
        <v>476.77</v>
      </c>
      <c r="D150">
        <v>5.585</v>
      </c>
      <c r="E150">
        <v>5.6070000000000002</v>
      </c>
      <c r="F150">
        <v>20.29</v>
      </c>
    </row>
    <row r="151" spans="1:6" x14ac:dyDescent="0.2">
      <c r="A151" s="4">
        <v>45937.624096145802</v>
      </c>
      <c r="B151">
        <v>907</v>
      </c>
      <c r="C151">
        <v>485.12</v>
      </c>
      <c r="D151">
        <v>5.476</v>
      </c>
      <c r="E151">
        <v>5.4960000000000004</v>
      </c>
      <c r="F151">
        <v>20.3</v>
      </c>
    </row>
    <row r="152" spans="1:6" x14ac:dyDescent="0.2">
      <c r="A152" s="4">
        <v>45937.624193252297</v>
      </c>
      <c r="B152">
        <v>297</v>
      </c>
      <c r="C152">
        <v>493.51</v>
      </c>
      <c r="D152">
        <v>5.3650000000000002</v>
      </c>
      <c r="E152">
        <v>5.3860000000000001</v>
      </c>
      <c r="F152">
        <v>20.29</v>
      </c>
    </row>
    <row r="153" spans="1:6" x14ac:dyDescent="0.2">
      <c r="A153" s="4">
        <v>45937.624289780098</v>
      </c>
      <c r="B153">
        <v>637</v>
      </c>
      <c r="C153">
        <v>501.85</v>
      </c>
      <c r="D153">
        <v>5.2569999999999997</v>
      </c>
      <c r="E153">
        <v>5.2789999999999999</v>
      </c>
      <c r="F153">
        <v>20.29</v>
      </c>
    </row>
    <row r="154" spans="1:6" x14ac:dyDescent="0.2">
      <c r="A154" s="4">
        <v>45937.624386296302</v>
      </c>
      <c r="B154">
        <v>976</v>
      </c>
      <c r="C154">
        <v>510.19</v>
      </c>
      <c r="D154">
        <v>5.1509999999999998</v>
      </c>
      <c r="E154">
        <v>5.1740000000000004</v>
      </c>
      <c r="F154">
        <v>20.29</v>
      </c>
    </row>
    <row r="155" spans="1:6" x14ac:dyDescent="0.2">
      <c r="A155" s="4">
        <v>45937.624483055602</v>
      </c>
      <c r="B155">
        <v>336</v>
      </c>
      <c r="C155">
        <v>518.54999999999995</v>
      </c>
      <c r="D155">
        <v>5.0490000000000004</v>
      </c>
      <c r="E155">
        <v>5.07</v>
      </c>
      <c r="F155">
        <v>20.29</v>
      </c>
    </row>
    <row r="156" spans="1:6" x14ac:dyDescent="0.2">
      <c r="A156" s="4">
        <v>45937.624590219901</v>
      </c>
      <c r="B156">
        <v>595</v>
      </c>
      <c r="C156">
        <v>527.80999999999995</v>
      </c>
      <c r="D156">
        <v>4.9400000000000004</v>
      </c>
      <c r="E156">
        <v>4.9569999999999999</v>
      </c>
      <c r="F156">
        <v>20.3</v>
      </c>
    </row>
    <row r="157" spans="1:6" x14ac:dyDescent="0.2">
      <c r="A157" s="4">
        <v>45937.624686284697</v>
      </c>
      <c r="B157">
        <v>895</v>
      </c>
      <c r="C157">
        <v>536.11</v>
      </c>
      <c r="D157">
        <v>4.8390000000000004</v>
      </c>
      <c r="E157">
        <v>4.8579999999999997</v>
      </c>
      <c r="F157">
        <v>20.3</v>
      </c>
    </row>
    <row r="158" spans="1:6" x14ac:dyDescent="0.2">
      <c r="A158" s="4">
        <v>45937.624793912</v>
      </c>
      <c r="B158">
        <v>194</v>
      </c>
      <c r="C158">
        <v>545.4</v>
      </c>
      <c r="D158">
        <v>4.7329999999999997</v>
      </c>
      <c r="E158">
        <v>4.7480000000000002</v>
      </c>
      <c r="F158">
        <v>20.3</v>
      </c>
    </row>
    <row r="159" spans="1:6" x14ac:dyDescent="0.2">
      <c r="A159" s="4">
        <v>45937.6249014352</v>
      </c>
      <c r="B159">
        <v>484</v>
      </c>
      <c r="C159">
        <v>554.69000000000005</v>
      </c>
      <c r="D159">
        <v>4.6260000000000003</v>
      </c>
      <c r="E159">
        <v>4.641</v>
      </c>
      <c r="F159">
        <v>20.3</v>
      </c>
    </row>
    <row r="160" spans="1:6" x14ac:dyDescent="0.2">
      <c r="A160" s="4">
        <v>45937.625009178199</v>
      </c>
      <c r="B160">
        <v>793</v>
      </c>
      <c r="C160">
        <v>564</v>
      </c>
      <c r="D160">
        <v>4.5250000000000004</v>
      </c>
      <c r="E160">
        <v>4.5350000000000001</v>
      </c>
      <c r="F160">
        <v>20.3</v>
      </c>
    </row>
    <row r="161" spans="1:6" x14ac:dyDescent="0.2">
      <c r="A161" s="4">
        <v>45937.625117048599</v>
      </c>
      <c r="B161">
        <v>113</v>
      </c>
      <c r="C161">
        <v>573.32000000000005</v>
      </c>
      <c r="D161">
        <v>4.4210000000000003</v>
      </c>
      <c r="E161">
        <v>4.4320000000000004</v>
      </c>
      <c r="F161">
        <v>20.3</v>
      </c>
    </row>
    <row r="162" spans="1:6" x14ac:dyDescent="0.2">
      <c r="A162" s="4">
        <v>45937.625225092597</v>
      </c>
      <c r="B162">
        <v>448</v>
      </c>
      <c r="C162">
        <v>582.66</v>
      </c>
      <c r="D162">
        <v>4.3140000000000001</v>
      </c>
      <c r="E162">
        <v>4.33</v>
      </c>
      <c r="F162">
        <v>20.3</v>
      </c>
    </row>
    <row r="163" spans="1:6" x14ac:dyDescent="0.2">
      <c r="A163" s="4">
        <v>45937.625354837997</v>
      </c>
      <c r="B163">
        <v>658</v>
      </c>
      <c r="C163">
        <v>593.87</v>
      </c>
      <c r="D163">
        <v>4.2089999999999996</v>
      </c>
      <c r="E163">
        <v>4.21</v>
      </c>
      <c r="F163">
        <v>20.3</v>
      </c>
    </row>
    <row r="164" spans="1:6" x14ac:dyDescent="0.2">
      <c r="A164" s="4">
        <v>45937.625471238403</v>
      </c>
      <c r="B164">
        <v>715</v>
      </c>
      <c r="C164">
        <v>603.92999999999995</v>
      </c>
      <c r="D164">
        <v>4.1050000000000004</v>
      </c>
      <c r="E164">
        <v>4.1050000000000004</v>
      </c>
      <c r="F164">
        <v>20.309999999999999</v>
      </c>
    </row>
    <row r="165" spans="1:6" x14ac:dyDescent="0.2">
      <c r="A165" s="4">
        <v>45937.625592777797</v>
      </c>
      <c r="B165">
        <v>216</v>
      </c>
      <c r="C165">
        <v>614.42999999999995</v>
      </c>
      <c r="D165">
        <v>4</v>
      </c>
      <c r="E165">
        <v>-99999</v>
      </c>
      <c r="F165">
        <v>20.309999999999999</v>
      </c>
    </row>
    <row r="166" spans="1:6" x14ac:dyDescent="0.2">
      <c r="A166" s="4"/>
    </row>
    <row r="167" spans="1:6" x14ac:dyDescent="0.2">
      <c r="A167" s="4"/>
    </row>
    <row r="168" spans="1:6" x14ac:dyDescent="0.2">
      <c r="A168" s="4"/>
    </row>
    <row r="169" spans="1:6" x14ac:dyDescent="0.2">
      <c r="A169" s="4"/>
    </row>
    <row r="170" spans="1:6" x14ac:dyDescent="0.2">
      <c r="A170" s="4"/>
    </row>
    <row r="171" spans="1:6" x14ac:dyDescent="0.2">
      <c r="A171" s="4"/>
    </row>
    <row r="172" spans="1:6" x14ac:dyDescent="0.2">
      <c r="A172" s="4"/>
    </row>
    <row r="173" spans="1:6" x14ac:dyDescent="0.2">
      <c r="A173" s="4"/>
    </row>
    <row r="174" spans="1:6" x14ac:dyDescent="0.2">
      <c r="A174" s="4"/>
    </row>
    <row r="175" spans="1:6" x14ac:dyDescent="0.2">
      <c r="A175" s="4"/>
    </row>
    <row r="176" spans="1:6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EFD993-7E13-44EA-AF97-275BCA11AE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F433E4-7A6C-4F30-94CC-7FDE09174691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customXml/itemProps3.xml><?xml version="1.0" encoding="utf-8"?>
<ds:datastoreItem xmlns:ds="http://schemas.openxmlformats.org/officeDocument/2006/customXml" ds:itemID="{70DF4819-54B5-4BDE-A458-42151C12EE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Patel, Kaizad F</cp:lastModifiedBy>
  <dcterms:created xsi:type="dcterms:W3CDTF">2017-12-12T14:35:01Z</dcterms:created>
  <dcterms:modified xsi:type="dcterms:W3CDTF">2026-08-18T02:43:39Z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
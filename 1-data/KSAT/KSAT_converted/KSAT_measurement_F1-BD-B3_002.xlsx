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<sst xmlns="http://schemas.openxmlformats.org/spreadsheetml/2006/main" count="110" uniqueCount="101">
  <si>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</si>
  <si>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</si>
  <si>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</si>
  <si>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</si>
  <si>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</si>
  <si>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</si>
  <si>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</si>
  <si>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</si>
  <si>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</si>
  <si>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</si>
  <si>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</si>
  <si>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</si>
  <si>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KSAT_measurement_F1-BD-B3_002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</si>
  <si>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</si>
  <si>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</si>
  <si>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</si>
  <si>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</si>
  <si>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</si>
  <si>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</si>
  <si>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</si>
  <si>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</si>
  <si>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</si>
  <si>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</si>
  <si>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</si>
  <si>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</si>
  <si>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</si>
  <si>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</si>
  <si>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</si>
  <si>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</si>
  <si>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</si>
  <si>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</si>
  <si>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</si>
  <si>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</si>
  <si>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</si>
  <si>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</si>
  <si>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</si>
  <si>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</si>
  <si>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</si>
  <si>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</si>
  <si>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</si>
  <si>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</si>
  <si>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</si>
  <si>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</si>
  <si>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</si>
  <si>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</si>
  <si>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</si>
  <si>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</si>
  <si>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</si>
  <si>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</si>
  <si>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</si>
  <si>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</si>
  <si>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</si>
  <si>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</si>
  <si>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</si>
  <si>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</si>
  <si>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</si>
  <si>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</si>
  <si>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</si>
  <si>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</si>
  <si>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</si>
  <si>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</si>
  <si>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</si>
  <si>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</si>
  <si>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</si>
  <si>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</si>
  <si>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11/6/2025 9:27:41 AM</t>
  </si>
  <si>
    <t>Test duration</t>
  </si>
  <si>
    <t>00:00:06</t>
  </si>
  <si>
    <t>RESULT</t>
  </si>
  <si>
    <t>Use auto offset adjustment</t>
  </si>
  <si>
    <t>Max offset adjustment [cm]</t>
  </si>
  <si>
    <t>1</t>
  </si>
  <si>
    <t>Fitting Parameter a [cm]</t>
  </si>
  <si>
    <t>-0.97</t>
  </si>
  <si>
    <t>coefficient a of the fitted exponential pressure head decrease function y = a * exp(-b*t)+c, where y is the pressure head in cm and t is time in s</t>
  </si>
  <si>
    <t>Fitting Parameter b [s-1]</t>
  </si>
  <si>
    <t>NaN</t>
  </si>
  <si>
    <t>coefficient b of the fitted exponential pressure head decrease function y = a * exp(-b*t)+c, where y is the pressure head in cm and t is time in s</t>
  </si>
  <si>
    <t>Fitting Parameter c [cm]</t>
  </si>
  <si>
    <t>0</t>
  </si>
  <si>
    <t>coefficient c of the fitted exponential pressure head decrease function y = a * exp(-b*t)+c, where y is the pressure head in cm and t is time in s</t>
  </si>
  <si>
    <t>Fitting Parameter r2 [-]</t>
  </si>
  <si>
    <t>0.9973</t>
  </si>
  <si>
    <t>coefficient of determination of the exponential pressure head decrease function that is fitted to the observed data</t>
  </si>
  <si>
    <t>Ks Total [cm/d]</t>
  </si>
  <si>
    <t>Saturated hydraulic conductivity [cm/d] of the entire system</t>
  </si>
  <si>
    <t>Ks Total [m/s]</t>
  </si>
  <si>
    <t>Saturated hydraulic conductivity [m/s] of the entire system</t>
  </si>
  <si>
    <t>Ks Soil [cm/d]</t>
  </si>
  <si>
    <t>Saturated hydraulic conductivity [cm/d] of the soil sample itself</t>
  </si>
  <si>
    <t>Ks Soil [m/s]</t>
  </si>
  <si>
    <t>Saturated hydraulic conductivity [m/s] of the soil sample itself</t>
  </si>
  <si>
    <t>Saturated hydraulic conductivity [cm/d] of the soil sample  normalized to 10 °C mean field temperature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</si>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</sst>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>
      <selection activeCell="A4" sqref="A4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76</v>
      </c>
      <c r="C47" t="s">
        <v>85</v>
      </c>
    </row>
    <row r="48" spans="1:3" x14ac:dyDescent="0.2">
      <c r="A48" t="s">
        <v>86</v>
      </c>
      <c r="B48" s="3" t="s">
        <v>76</v>
      </c>
      <c r="C48" s="3" t="s">
        <v>87</v>
      </c>
    </row>
    <row r="49" spans="1:6" x14ac:dyDescent="0.2">
      <c r="A49" t="s">
        <v>88</v>
      </c>
      <c r="B49" t="s">
        <v>76</v>
      </c>
      <c r="C49" t="s">
        <v>89</v>
      </c>
    </row>
    <row r="50" spans="1:6" x14ac:dyDescent="0.2">
      <c r="A50" t="s">
        <v>90</v>
      </c>
      <c r="B50" s="3" t="s">
        <v>76</v>
      </c>
      <c r="C50" s="3" t="s">
        <v>91</v>
      </c>
    </row>
    <row r="51" spans="1:6" x14ac:dyDescent="0.2">
      <c r="A51" t="str">
        <f>CONCATENATE("Ks Soil normalized at ",B32," °C [cm/d]")</f>
        <v>Ks Soil normalized at 20 °C [cm/d]</v>
      </c>
      <c r="B51" t="s">
        <v>76</v>
      </c>
      <c r="C51" t="s">
        <v>92</v>
      </c>
    </row>
    <row r="52" spans="1:6" x14ac:dyDescent="0.2">
      <c r="A52" t="str">
        <f>CONCATENATE("Ks Soil normalized at ",B32," °C [m/s]")</f>
        <v>Ks Soil normalized at 20 °C [m/s]</v>
      </c>
      <c r="B52" s="3" t="s">
        <v>76</v>
      </c>
      <c r="C52" s="3" t="s">
        <v>93</v>
      </c>
    </row>
    <row r="54" spans="1:6" x14ac:dyDescent="0.2">
      <c r="A54" t="s">
        <v>94</v>
      </c>
    </row>
    <row r="55" spans="1:6" x14ac:dyDescent="0.2">
      <c r="A55" s="1" t="s">
        <v>95</v>
      </c>
      <c r="B55" t="s">
        <v>96</v>
      </c>
      <c r="C55" t="s">
        <v>97</v>
      </c>
      <c r="D55" t="s">
        <v>98</v>
      </c>
      <c r="E55" t="s">
        <v>99</v>
      </c>
      <c r="F55" t="s">
        <v>100</v>
      </c>
    </row>
    <row r="56" spans="1:6" x14ac:dyDescent="0.2">
      <c r="A56" s="4">
        <v>45967.394235104199</v>
      </c>
      <c r="B56">
        <v>913</v>
      </c>
      <c r="C56">
        <v>0</v>
      </c>
      <c r="D56">
        <v>-0.96799999999999997</v>
      </c>
      <c r="E56" t="s">
        <v>76</v>
      </c>
      <c r="F56">
        <v>20.61</v>
      </c>
    </row>
    <row r="57" spans="1:6" x14ac:dyDescent="0.2">
      <c r="A57" s="4">
        <v>45967.394300497697</v>
      </c>
      <c r="B57">
        <v>563</v>
      </c>
      <c r="C57">
        <v>5.65</v>
      </c>
      <c r="D57">
        <v>-0.96</v>
      </c>
      <c r="E57" t="s">
        <v>76</v>
      </c>
      <c r="F57">
        <v>20.61</v>
      </c>
    </row>
    <row r="58" spans="1:6" x14ac:dyDescent="0.2">
      <c r="A58" s="4">
        <v>45967.394311955999</v>
      </c>
      <c r="B58">
        <v>553</v>
      </c>
      <c r="C58">
        <v>6.64</v>
      </c>
      <c r="D58">
        <v>-0.95799999999999996</v>
      </c>
      <c r="E58" t="s">
        <v>76</v>
      </c>
      <c r="F58">
        <v>20.61</v>
      </c>
    </row>
    <row r="59" spans="1:6" x14ac:dyDescent="0.2">
      <c r="A59" s="4"/>
    </row>
    <row r="60" spans="1:6" x14ac:dyDescent="0.2">
      <c r="A60" s="4"/>
    </row>
    <row r="61" spans="1:6" x14ac:dyDescent="0.2">
      <c r="A61" s="4"/>
    </row>
    <row r="62" spans="1:6" x14ac:dyDescent="0.2">
      <c r="A62" s="4"/>
    </row>
    <row r="63" spans="1:6" x14ac:dyDescent="0.2">
      <c r="A63" s="4"/>
    </row>
    <row r="64" spans="1:6" x14ac:dyDescent="0.2">
      <c r="A64" s="4"/>
    </row>
    <row r="65" spans="1:1" x14ac:dyDescent="0.2">
      <c r="A65" s="4"/>
    </row>
    <row r="66" spans="1:1" x14ac:dyDescent="0.2">
      <c r="A66" s="4"/>
    </row>
    <row r="67" spans="1:1" x14ac:dyDescent="0.2">
      <c r="A67" s="4"/>
    </row>
    <row r="68" spans="1:1" x14ac:dyDescent="0.2">
      <c r="A68" s="4"/>
    </row>
    <row r="69" spans="1:1" x14ac:dyDescent="0.2">
      <c r="A69" s="4"/>
    </row>
    <row r="70" spans="1:1" x14ac:dyDescent="0.2">
      <c r="A70" s="4"/>
    </row>
    <row r="71" spans="1:1" x14ac:dyDescent="0.2">
      <c r="A71" s="4"/>
    </row>
    <row r="72" spans="1:1" x14ac:dyDescent="0.2">
      <c r="A72" s="4"/>
    </row>
    <row r="73" spans="1:1" x14ac:dyDescent="0.2">
      <c r="A73" s="4"/>
    </row>
    <row r="74" spans="1:1" x14ac:dyDescent="0.2">
      <c r="A74" s="4"/>
    </row>
    <row r="75" spans="1:1" x14ac:dyDescent="0.2">
      <c r="A75" s="4"/>
    </row>
    <row r="76" spans="1:1" x14ac:dyDescent="0.2">
      <c r="A76" s="4"/>
    </row>
    <row r="77" spans="1:1" x14ac:dyDescent="0.2">
      <c r="A77" s="4"/>
    </row>
    <row r="78" spans="1:1" x14ac:dyDescent="0.2">
      <c r="A78" s="4"/>
    </row>
    <row r="79" spans="1:1" x14ac:dyDescent="0.2">
      <c r="A79" s="4"/>
    </row>
    <row r="80" spans="1:1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8AF065-9B6E-4952-B553-ACD86174B0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7A48D-4A66-4E5C-A877-3A5B196BB381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3.xml><?xml version="1.0" encoding="utf-8"?>
<ds:datastoreItem xmlns:ds="http://schemas.openxmlformats.org/officeDocument/2006/customXml" ds:itemID="{5DD80334-A5EC-4C54-AAF1-02DB05739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
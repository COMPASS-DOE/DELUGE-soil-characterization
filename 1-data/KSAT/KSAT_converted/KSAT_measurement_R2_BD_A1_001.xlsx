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<sst xmlns="http://schemas.openxmlformats.org/spreadsheetml/2006/main" count="107" uniqueCount="106">
  <si>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</si>
  <si>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</si>
  <si>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</si>
  <si>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</si>
  <si>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</si>
  <si>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</si>
  <si>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</si>
  <si>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</si>
  <si>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</si>
  <si>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</si>
  <si>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</si>
  <si>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</si>
  <si>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KSAT_measurement_R2_BD_A1_001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</si>
  <si>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</si>
  <si>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</si>
  <si>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</si>
  <si>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</si>
  <si>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</si>
  <si>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</si>
  <si>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</si>
  <si>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</si>
  <si>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</si>
  <si>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</si>
  <si>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</si>
  <si>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</si>
  <si>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</si>
  <si>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</si>
  <si>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</si>
  <si>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</si>
  <si>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</si>
  <si>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</si>
  <si>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</si>
  <si>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</si>
  <si>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</si>
  <si>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</si>
  <si>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</si>
  <si>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</si>
  <si>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</si>
  <si>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</si>
  <si>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</si>
  <si>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</si>
  <si>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</si>
  <si>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</si>
  <si>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</si>
  <si>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</si>
  <si>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</si>
  <si>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</si>
  <si>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</si>
  <si>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</si>
  <si>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</si>
  <si>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</si>
  <si>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</si>
  <si>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</si>
  <si>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</si>
  <si>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</si>
  <si>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</si>
  <si>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</si>
  <si>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</si>
  <si>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</si>
  <si>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</si>
  <si>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</si>
  <si>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</si>
  <si>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</si>
  <si>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</si>
  <si>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</si>
  <si>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12/4/2025 12:06:32 PM</t>
  </si>
  <si>
    <t>Test duration</t>
  </si>
  <si>
    <t>00:02:37</t>
  </si>
  <si>
    <t>RESULT</t>
  </si>
  <si>
    <t>Use auto offset adjustment</t>
  </si>
  <si>
    <t>Max offset adjustment [cm]</t>
  </si>
  <si>
    <t>1</t>
  </si>
  <si>
    <t>Fitting Parameter a [cm]</t>
  </si>
  <si>
    <t>18.71</t>
  </si>
  <si>
    <t>coefficient a of the fitted exponential pressure head decrease function y = a * exp(-b*t)+c, where y is the pressure head in cm and t is time in s</t>
  </si>
  <si>
    <t>Fitting Parameter b [s-1]</t>
  </si>
  <si>
    <t>-7.85E-03</t>
  </si>
  <si>
    <t>coefficient b of the fitted exponential pressure head decrease function y = a * exp(-b*t)+c, where y is the pressure head in cm and t is time in s</t>
  </si>
  <si>
    <t>Fitting Parameter c [cm]</t>
  </si>
  <si>
    <t>coefficient c of the fitted exponential pressure head decrease function y = a * exp(-b*t)+c, where y is the pressure head in cm and t is time in s</t>
  </si>
  <si>
    <t>Fitting Parameter r2 [-]</t>
  </si>
  <si>
    <t>0.9999</t>
  </si>
  <si>
    <t>coefficient of determination of the exponential pressure head decrease function that is fitted to the observed data</t>
  </si>
  <si>
    <t>Ks Total [cm/d]</t>
  </si>
  <si>
    <t>971.154</t>
  </si>
  <si>
    <t>Saturated hydraulic conductivity [cm/d] of the entire system</t>
  </si>
  <si>
    <t>Ks Total [m/s]</t>
  </si>
  <si>
    <t>1.13E-04</t>
  </si>
  <si>
    <t>Saturated hydraulic conductivity [m/s] of the entire system</t>
  </si>
  <si>
    <t>Ks Soil [cm/d]</t>
  </si>
  <si>
    <t>808.806</t>
  </si>
  <si>
    <t>Saturated hydraulic conductivity [cm/d] of the soil sample itself</t>
  </si>
  <si>
    <t>Ks Soil [m/s]</t>
  </si>
  <si>
    <t>9.40E-05</t>
  </si>
  <si>
    <t>Saturated hydraulic conductivity [m/s] of the soil sample itself</t>
  </si>
  <si>
    <t>800.558</t>
  </si>
  <si>
    <t>Saturated hydraulic conductivity [cm/d] of the soil sample  normalized to 10 °C mean field temperature</t>
  </si>
  <si>
    <t>9.31E-05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</si>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</sst>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/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71</v>
      </c>
      <c r="C45" t="s">
        <v>79</v>
      </c>
    </row>
    <row r="46" spans="1:3" x14ac:dyDescent="0.2">
      <c r="A46" t="s">
        <v>80</v>
      </c>
      <c r="B46" t="s">
        <v>81</v>
      </c>
      <c r="C46" t="s">
        <v>82</v>
      </c>
    </row>
    <row r="47" spans="1:3" x14ac:dyDescent="0.2">
      <c r="A47" t="s">
        <v>83</v>
      </c>
      <c r="B47" t="s">
        <v>84</v>
      </c>
      <c r="C47" t="s">
        <v>85</v>
      </c>
    </row>
    <row r="48" spans="1:3" x14ac:dyDescent="0.2">
      <c r="A48" t="s">
        <v>86</v>
      </c>
      <c r="B48" s="3" t="s">
        <v>87</v>
      </c>
      <c r="C48" s="3" t="s">
        <v>88</v>
      </c>
    </row>
    <row r="49" spans="1:6" x14ac:dyDescent="0.2">
      <c r="A49" t="s">
        <v>89</v>
      </c>
      <c r="B49" t="s">
        <v>90</v>
      </c>
      <c r="C49" t="s">
        <v>91</v>
      </c>
    </row>
    <row r="50" spans="1:6" x14ac:dyDescent="0.2">
      <c r="A50" t="s">
        <v>92</v>
      </c>
      <c r="B50" s="3" t="s">
        <v>93</v>
      </c>
      <c r="C50" s="3" t="s">
        <v>94</v>
      </c>
    </row>
    <row r="51" spans="1:6" x14ac:dyDescent="0.2">
      <c r="A51" t="str">
        <f>CONCATENATE("Ks Soil normalized at ",B32," °C [cm/d]")</f>
        <v>Ks Soil normalized at 20 °C [cm/d]</v>
      </c>
      <c r="B51" t="s">
        <v>95</v>
      </c>
      <c r="C51" t="s">
        <v>96</v>
      </c>
    </row>
    <row r="52" spans="1:6" x14ac:dyDescent="0.2">
      <c r="A52" t="str">
        <f>CONCATENATE("Ks Soil normalized at ",B32," °C [m/s]")</f>
        <v>Ks Soil normalized at 20 °C [m/s]</v>
      </c>
      <c r="B52" s="3" t="s">
        <v>97</v>
      </c>
      <c r="C52" s="3" t="s">
        <v>98</v>
      </c>
    </row>
    <row r="54" spans="1:6" x14ac:dyDescent="0.2">
      <c r="A54" t="s">
        <v>99</v>
      </c>
    </row>
    <row r="55" spans="1:6" x14ac:dyDescent="0.2">
      <c r="A55" s="1" t="s">
        <v>100</v>
      </c>
      <c r="B55" t="s">
        <v>101</v>
      </c>
      <c r="C55" t="s">
        <v>102</v>
      </c>
      <c r="D55" t="s">
        <v>103</v>
      </c>
      <c r="E55" t="s">
        <v>104</v>
      </c>
      <c r="F55" t="s">
        <v>105</v>
      </c>
    </row>
    <row r="56" spans="1:6" x14ac:dyDescent="0.2">
      <c r="A56" s="4">
        <v>45995.504545567099</v>
      </c>
      <c r="B56">
        <v>737</v>
      </c>
      <c r="C56">
        <v>0</v>
      </c>
      <c r="D56">
        <v>17.71</v>
      </c>
      <c r="E56">
        <v>17.71</v>
      </c>
      <c r="F56">
        <v>20.45</v>
      </c>
    </row>
    <row r="57" spans="1:6" x14ac:dyDescent="0.2">
      <c r="A57" s="4">
        <v>45995.504598009298</v>
      </c>
      <c r="B57">
        <v>268</v>
      </c>
      <c r="C57">
        <v>4.53</v>
      </c>
      <c r="D57">
        <v>17.539000000000001</v>
      </c>
      <c r="E57">
        <v>17.056000000000001</v>
      </c>
      <c r="F57">
        <v>20.45</v>
      </c>
    </row>
    <row r="58" spans="1:6" x14ac:dyDescent="0.2">
      <c r="A58" s="4">
        <v>45995.504609004602</v>
      </c>
      <c r="B58">
        <v>218</v>
      </c>
      <c r="C58">
        <v>5.48</v>
      </c>
      <c r="D58">
        <v>17.366</v>
      </c>
      <c r="E58">
        <v>16.922000000000001</v>
      </c>
      <c r="F58">
        <v>20.45</v>
      </c>
    </row>
    <row r="59" spans="1:6" x14ac:dyDescent="0.2">
      <c r="A59" s="4">
        <v>45995.504622546301</v>
      </c>
      <c r="B59">
        <v>388</v>
      </c>
      <c r="C59">
        <v>6.65</v>
      </c>
      <c r="D59">
        <v>17.193000000000001</v>
      </c>
      <c r="E59">
        <v>16.757999999999999</v>
      </c>
      <c r="F59">
        <v>20.45</v>
      </c>
    </row>
    <row r="60" spans="1:6" x14ac:dyDescent="0.2">
      <c r="A60" s="4">
        <v>45995.504641874999</v>
      </c>
      <c r="B60">
        <v>58</v>
      </c>
      <c r="C60">
        <v>8.32</v>
      </c>
      <c r="D60">
        <v>16.911000000000001</v>
      </c>
      <c r="E60">
        <v>16.526</v>
      </c>
      <c r="F60">
        <v>20.45</v>
      </c>
    </row>
    <row r="61" spans="1:6" x14ac:dyDescent="0.2">
      <c r="A61" s="4">
        <v>45995.504660277802</v>
      </c>
      <c r="B61">
        <v>648</v>
      </c>
      <c r="C61">
        <v>9.91</v>
      </c>
      <c r="D61">
        <v>16.690999999999999</v>
      </c>
      <c r="E61">
        <v>16.309000000000001</v>
      </c>
      <c r="F61">
        <v>20.45</v>
      </c>
    </row>
    <row r="62" spans="1:6" x14ac:dyDescent="0.2">
      <c r="A62" s="4">
        <v>45995.504679027799</v>
      </c>
      <c r="B62">
        <v>268</v>
      </c>
      <c r="C62">
        <v>11.53</v>
      </c>
      <c r="D62">
        <v>16.47</v>
      </c>
      <c r="E62">
        <v>16.09</v>
      </c>
      <c r="F62">
        <v>20.440000000000001</v>
      </c>
    </row>
    <row r="63" spans="1:6" x14ac:dyDescent="0.2">
      <c r="A63" s="4">
        <v>45995.5046982407</v>
      </c>
      <c r="B63">
        <v>928</v>
      </c>
      <c r="C63">
        <v>13.19</v>
      </c>
      <c r="D63">
        <v>16.245000000000001</v>
      </c>
      <c r="E63">
        <v>15.869</v>
      </c>
      <c r="F63">
        <v>20.440000000000001</v>
      </c>
    </row>
    <row r="64" spans="1:6" x14ac:dyDescent="0.2">
      <c r="A64" s="4">
        <v>45995.504716527801</v>
      </c>
      <c r="B64">
        <v>508</v>
      </c>
      <c r="C64">
        <v>14.77</v>
      </c>
      <c r="D64">
        <v>16.03</v>
      </c>
      <c r="E64">
        <v>15.66</v>
      </c>
      <c r="F64">
        <v>20.440000000000001</v>
      </c>
    </row>
    <row r="65" spans="1:6" x14ac:dyDescent="0.2">
      <c r="A65" s="4">
        <v>45995.504734351904</v>
      </c>
      <c r="B65">
        <v>48</v>
      </c>
      <c r="C65">
        <v>16.309999999999999</v>
      </c>
      <c r="D65">
        <v>15.82</v>
      </c>
      <c r="E65">
        <v>15.46</v>
      </c>
      <c r="F65">
        <v>20.440000000000001</v>
      </c>
    </row>
    <row r="66" spans="1:6" x14ac:dyDescent="0.2">
      <c r="A66" s="4">
        <v>45995.5047526505</v>
      </c>
      <c r="B66">
        <v>629</v>
      </c>
      <c r="C66">
        <v>17.89</v>
      </c>
      <c r="D66">
        <v>15.667</v>
      </c>
      <c r="E66">
        <v>15.257</v>
      </c>
      <c r="F66">
        <v>20.440000000000001</v>
      </c>
    </row>
    <row r="67" spans="1:6" x14ac:dyDescent="0.2">
      <c r="A67" s="4">
        <v>45995.504771400498</v>
      </c>
      <c r="B67">
        <v>249</v>
      </c>
      <c r="C67">
        <v>19.510000000000002</v>
      </c>
      <c r="D67">
        <v>15.461</v>
      </c>
      <c r="E67">
        <v>15.051</v>
      </c>
      <c r="F67">
        <v>20.440000000000001</v>
      </c>
    </row>
    <row r="68" spans="1:6" x14ac:dyDescent="0.2">
      <c r="A68" s="4">
        <v>45995.504790613399</v>
      </c>
      <c r="B68">
        <v>909</v>
      </c>
      <c r="C68">
        <v>21.17</v>
      </c>
      <c r="D68">
        <v>15.252000000000001</v>
      </c>
      <c r="E68">
        <v>14.843999999999999</v>
      </c>
      <c r="F68">
        <v>20.440000000000001</v>
      </c>
    </row>
    <row r="69" spans="1:6" x14ac:dyDescent="0.2">
      <c r="A69" s="4">
        <v>45995.504809131897</v>
      </c>
      <c r="B69">
        <v>509</v>
      </c>
      <c r="C69">
        <v>22.77</v>
      </c>
      <c r="D69">
        <v>15.047000000000001</v>
      </c>
      <c r="E69">
        <v>14.646000000000001</v>
      </c>
      <c r="F69">
        <v>20.440000000000001</v>
      </c>
    </row>
    <row r="70" spans="1:6" x14ac:dyDescent="0.2">
      <c r="A70" s="4">
        <v>45995.504827662</v>
      </c>
      <c r="B70">
        <v>110</v>
      </c>
      <c r="C70">
        <v>24.37</v>
      </c>
      <c r="D70">
        <v>14.848000000000001</v>
      </c>
      <c r="E70">
        <v>14.45</v>
      </c>
      <c r="F70">
        <v>20.440000000000001</v>
      </c>
    </row>
    <row r="71" spans="1:6" x14ac:dyDescent="0.2">
      <c r="A71" s="4">
        <v>45995.504846064803</v>
      </c>
      <c r="B71">
        <v>700</v>
      </c>
      <c r="C71">
        <v>25.96</v>
      </c>
      <c r="D71">
        <v>14.618</v>
      </c>
      <c r="E71">
        <v>14.257999999999999</v>
      </c>
      <c r="F71">
        <v>20.440000000000001</v>
      </c>
    </row>
    <row r="72" spans="1:6" x14ac:dyDescent="0.2">
      <c r="A72" s="4">
        <v>45995.504864699098</v>
      </c>
      <c r="B72">
        <v>310</v>
      </c>
      <c r="C72">
        <v>27.57</v>
      </c>
      <c r="D72">
        <v>14.409000000000001</v>
      </c>
      <c r="E72">
        <v>14.067</v>
      </c>
      <c r="F72">
        <v>20.440000000000001</v>
      </c>
    </row>
    <row r="73" spans="1:6" x14ac:dyDescent="0.2">
      <c r="A73" s="4">
        <v>45995.504883680602</v>
      </c>
      <c r="B73">
        <v>950</v>
      </c>
      <c r="C73">
        <v>29.21</v>
      </c>
      <c r="D73">
        <v>14.202</v>
      </c>
      <c r="E73">
        <v>13.874000000000001</v>
      </c>
      <c r="F73">
        <v>20.440000000000001</v>
      </c>
    </row>
    <row r="74" spans="1:6" x14ac:dyDescent="0.2">
      <c r="A74" s="4">
        <v>45995.5049021991</v>
      </c>
      <c r="B74">
        <v>550</v>
      </c>
      <c r="C74">
        <v>30.81</v>
      </c>
      <c r="D74">
        <v>14.01</v>
      </c>
      <c r="E74">
        <v>13.688000000000001</v>
      </c>
      <c r="F74">
        <v>20.440000000000001</v>
      </c>
    </row>
    <row r="75" spans="1:6" x14ac:dyDescent="0.2">
      <c r="A75" s="4">
        <v>45995.504921180604</v>
      </c>
      <c r="B75">
        <v>190</v>
      </c>
      <c r="C75">
        <v>32.450000000000003</v>
      </c>
      <c r="D75">
        <v>13.821999999999999</v>
      </c>
      <c r="E75">
        <v>13.5</v>
      </c>
      <c r="F75">
        <v>20.440000000000001</v>
      </c>
    </row>
    <row r="76" spans="1:6" x14ac:dyDescent="0.2">
      <c r="A76" s="4">
        <v>45995.504939004597</v>
      </c>
      <c r="B76">
        <v>730</v>
      </c>
      <c r="C76">
        <v>33.99</v>
      </c>
      <c r="D76">
        <v>13.634</v>
      </c>
      <c r="E76">
        <v>13.326000000000001</v>
      </c>
      <c r="F76">
        <v>20.440000000000001</v>
      </c>
    </row>
    <row r="77" spans="1:6" x14ac:dyDescent="0.2">
      <c r="A77" s="4">
        <v>45995.504957187499</v>
      </c>
      <c r="B77">
        <v>301</v>
      </c>
      <c r="C77">
        <v>35.56</v>
      </c>
      <c r="D77">
        <v>13.455</v>
      </c>
      <c r="E77">
        <v>13.15</v>
      </c>
      <c r="F77">
        <v>20.440000000000001</v>
      </c>
    </row>
    <row r="78" spans="1:6" x14ac:dyDescent="0.2">
      <c r="A78" s="4">
        <v>45995.5049752431</v>
      </c>
      <c r="B78">
        <v>861</v>
      </c>
      <c r="C78">
        <v>37.119999999999997</v>
      </c>
      <c r="D78">
        <v>13.273</v>
      </c>
      <c r="E78">
        <v>12.978</v>
      </c>
      <c r="F78">
        <v>20.440000000000001</v>
      </c>
    </row>
    <row r="79" spans="1:6" x14ac:dyDescent="0.2">
      <c r="A79" s="4">
        <v>45995.504993993098</v>
      </c>
      <c r="B79">
        <v>481</v>
      </c>
      <c r="C79">
        <v>38.74</v>
      </c>
      <c r="D79">
        <v>13.127000000000001</v>
      </c>
      <c r="E79">
        <v>12.801</v>
      </c>
      <c r="F79">
        <v>20.440000000000001</v>
      </c>
    </row>
    <row r="80" spans="1:6" x14ac:dyDescent="0.2">
      <c r="A80" s="4">
        <v>45995.505013205999</v>
      </c>
      <c r="B80">
        <v>141</v>
      </c>
      <c r="C80">
        <v>40.4</v>
      </c>
      <c r="D80">
        <v>12.952</v>
      </c>
      <c r="E80">
        <v>12.622</v>
      </c>
      <c r="F80">
        <v>20.440000000000001</v>
      </c>
    </row>
    <row r="81" spans="1:6" x14ac:dyDescent="0.2">
      <c r="A81" s="4">
        <v>45995.5050314931</v>
      </c>
      <c r="B81">
        <v>721</v>
      </c>
      <c r="C81">
        <v>41.98</v>
      </c>
      <c r="D81">
        <v>12.776999999999999</v>
      </c>
      <c r="E81">
        <v>12.454000000000001</v>
      </c>
      <c r="F81">
        <v>20.440000000000001</v>
      </c>
    </row>
    <row r="82" spans="1:6" x14ac:dyDescent="0.2">
      <c r="A82" s="4">
        <v>45995.5050509375</v>
      </c>
      <c r="B82">
        <v>401</v>
      </c>
      <c r="C82">
        <v>43.66</v>
      </c>
      <c r="D82">
        <v>12.561999999999999</v>
      </c>
      <c r="E82">
        <v>12.278</v>
      </c>
      <c r="F82">
        <v>20.440000000000001</v>
      </c>
    </row>
    <row r="83" spans="1:6" x14ac:dyDescent="0.2">
      <c r="A83" s="4">
        <v>45995.505068645798</v>
      </c>
      <c r="B83">
        <v>931</v>
      </c>
      <c r="C83">
        <v>45.19</v>
      </c>
      <c r="D83">
        <v>12.395</v>
      </c>
      <c r="E83">
        <v>12.119</v>
      </c>
      <c r="F83">
        <v>20.440000000000001</v>
      </c>
    </row>
    <row r="84" spans="1:6" x14ac:dyDescent="0.2">
      <c r="A84" s="4">
        <v>45995.505087511599</v>
      </c>
      <c r="B84">
        <v>561</v>
      </c>
      <c r="C84">
        <v>46.82</v>
      </c>
      <c r="D84">
        <v>12.222</v>
      </c>
      <c r="E84">
        <v>11.952</v>
      </c>
      <c r="F84">
        <v>20.440000000000001</v>
      </c>
    </row>
    <row r="85" spans="1:6" x14ac:dyDescent="0.2">
      <c r="A85" s="4">
        <v>45995.505105914403</v>
      </c>
      <c r="B85">
        <v>151</v>
      </c>
      <c r="C85">
        <v>48.41</v>
      </c>
      <c r="D85">
        <v>12.052</v>
      </c>
      <c r="E85">
        <v>11.792</v>
      </c>
      <c r="F85">
        <v>20.440000000000001</v>
      </c>
    </row>
    <row r="86" spans="1:6" x14ac:dyDescent="0.2">
      <c r="A86" s="4">
        <v>45995.505124201401</v>
      </c>
      <c r="B86">
        <v>731</v>
      </c>
      <c r="C86">
        <v>49.99</v>
      </c>
      <c r="D86">
        <v>11.887</v>
      </c>
      <c r="E86">
        <v>11.634</v>
      </c>
      <c r="F86">
        <v>20.440000000000001</v>
      </c>
    </row>
    <row r="87" spans="1:6" x14ac:dyDescent="0.2">
      <c r="A87" s="4">
        <v>45995.505143645802</v>
      </c>
      <c r="B87">
        <v>411</v>
      </c>
      <c r="C87">
        <v>51.67</v>
      </c>
      <c r="D87">
        <v>11.722</v>
      </c>
      <c r="E87">
        <v>11.468</v>
      </c>
      <c r="F87">
        <v>20.43</v>
      </c>
    </row>
    <row r="88" spans="1:6" x14ac:dyDescent="0.2">
      <c r="A88" s="4">
        <v>45995.505161932902</v>
      </c>
      <c r="B88">
        <v>991</v>
      </c>
      <c r="C88">
        <v>53.25</v>
      </c>
      <c r="D88">
        <v>11.561</v>
      </c>
      <c r="E88">
        <v>11.314</v>
      </c>
      <c r="F88">
        <v>20.43</v>
      </c>
    </row>
    <row r="89" spans="1:6" x14ac:dyDescent="0.2">
      <c r="A89" s="4">
        <v>45995.505182766203</v>
      </c>
      <c r="B89">
        <v>791</v>
      </c>
      <c r="C89">
        <v>55.05</v>
      </c>
      <c r="D89">
        <v>11.367000000000001</v>
      </c>
      <c r="E89">
        <v>11.141999999999999</v>
      </c>
      <c r="F89">
        <v>20.43</v>
      </c>
    </row>
    <row r="90" spans="1:6" x14ac:dyDescent="0.2">
      <c r="A90" s="4">
        <v>45995.5052015162</v>
      </c>
      <c r="B90">
        <v>411</v>
      </c>
      <c r="C90">
        <v>56.67</v>
      </c>
      <c r="D90">
        <v>11.212</v>
      </c>
      <c r="E90">
        <v>10.988</v>
      </c>
      <c r="F90">
        <v>20.43</v>
      </c>
    </row>
    <row r="91" spans="1:6" x14ac:dyDescent="0.2">
      <c r="A91" s="4">
        <v>45995.505219803199</v>
      </c>
      <c r="B91">
        <v>991</v>
      </c>
      <c r="C91">
        <v>58.25</v>
      </c>
      <c r="D91">
        <v>11.055</v>
      </c>
      <c r="E91">
        <v>10.84</v>
      </c>
      <c r="F91">
        <v>20.43</v>
      </c>
    </row>
    <row r="92" spans="1:6" x14ac:dyDescent="0.2">
      <c r="A92" s="4">
        <v>45995.505238321799</v>
      </c>
      <c r="B92">
        <v>591</v>
      </c>
      <c r="C92">
        <v>59.85</v>
      </c>
      <c r="D92">
        <v>10.897</v>
      </c>
      <c r="E92">
        <v>10.692</v>
      </c>
      <c r="F92">
        <v>20.43</v>
      </c>
    </row>
    <row r="93" spans="1:6" x14ac:dyDescent="0.2">
      <c r="A93" s="4">
        <v>45995.5052575347</v>
      </c>
      <c r="B93">
        <v>251</v>
      </c>
      <c r="C93">
        <v>61.51</v>
      </c>
      <c r="D93">
        <v>10.741</v>
      </c>
      <c r="E93">
        <v>10.541</v>
      </c>
      <c r="F93">
        <v>20.43</v>
      </c>
    </row>
    <row r="94" spans="1:6" x14ac:dyDescent="0.2">
      <c r="A94" s="4">
        <v>45995.505276516204</v>
      </c>
      <c r="B94">
        <v>891</v>
      </c>
      <c r="C94">
        <v>63.15</v>
      </c>
      <c r="D94">
        <v>10.593999999999999</v>
      </c>
      <c r="E94">
        <v>10.393000000000001</v>
      </c>
      <c r="F94">
        <v>20.43</v>
      </c>
    </row>
    <row r="95" spans="1:6" x14ac:dyDescent="0.2">
      <c r="A95" s="4">
        <v>45995.505295844901</v>
      </c>
      <c r="B95">
        <v>561</v>
      </c>
      <c r="C95">
        <v>64.819999999999993</v>
      </c>
      <c r="D95">
        <v>10.404999999999999</v>
      </c>
      <c r="E95">
        <v>10.244999999999999</v>
      </c>
      <c r="F95">
        <v>20.43</v>
      </c>
    </row>
    <row r="96" spans="1:6" x14ac:dyDescent="0.2">
      <c r="A96" s="4">
        <v>45995.505314594899</v>
      </c>
      <c r="B96">
        <v>181</v>
      </c>
      <c r="C96">
        <v>66.44</v>
      </c>
      <c r="D96">
        <v>10.259</v>
      </c>
      <c r="E96">
        <v>10.103</v>
      </c>
      <c r="F96">
        <v>20.43</v>
      </c>
    </row>
    <row r="97" spans="1:6" x14ac:dyDescent="0.2">
      <c r="A97" s="4">
        <v>45995.505333576402</v>
      </c>
      <c r="B97">
        <v>821</v>
      </c>
      <c r="C97">
        <v>68.08</v>
      </c>
      <c r="D97">
        <v>10.121</v>
      </c>
      <c r="E97">
        <v>9.9600000000000009</v>
      </c>
      <c r="F97">
        <v>20.43</v>
      </c>
    </row>
    <row r="98" spans="1:6" x14ac:dyDescent="0.2">
      <c r="A98" s="4">
        <v>45995.5053516435</v>
      </c>
      <c r="B98">
        <v>382</v>
      </c>
      <c r="C98">
        <v>69.650000000000006</v>
      </c>
      <c r="D98">
        <v>10.013</v>
      </c>
      <c r="E98">
        <v>9.827</v>
      </c>
      <c r="F98">
        <v>20.43</v>
      </c>
    </row>
    <row r="99" spans="1:6" x14ac:dyDescent="0.2">
      <c r="A99" s="4">
        <v>45995.505370393497</v>
      </c>
      <c r="B99">
        <v>2</v>
      </c>
      <c r="C99">
        <v>71.27</v>
      </c>
      <c r="D99">
        <v>9.8689999999999998</v>
      </c>
      <c r="E99">
        <v>9.69</v>
      </c>
      <c r="F99">
        <v>20.43</v>
      </c>
    </row>
    <row r="100" spans="1:6" x14ac:dyDescent="0.2">
      <c r="A100" s="4">
        <v>45995.505388912003</v>
      </c>
      <c r="B100">
        <v>602</v>
      </c>
      <c r="C100">
        <v>72.87</v>
      </c>
      <c r="D100">
        <v>9.7279999999999998</v>
      </c>
      <c r="E100">
        <v>9.5570000000000004</v>
      </c>
      <c r="F100">
        <v>20.43</v>
      </c>
    </row>
    <row r="101" spans="1:6" x14ac:dyDescent="0.2">
      <c r="A101" s="4">
        <v>45995.505408136603</v>
      </c>
      <c r="B101">
        <v>263</v>
      </c>
      <c r="C101">
        <v>74.53</v>
      </c>
      <c r="D101">
        <v>9.593</v>
      </c>
      <c r="E101">
        <v>9.42</v>
      </c>
      <c r="F101">
        <v>20.43</v>
      </c>
    </row>
    <row r="102" spans="1:6" x14ac:dyDescent="0.2">
      <c r="A102" s="4">
        <v>45995.505426655101</v>
      </c>
      <c r="B102">
        <v>863</v>
      </c>
      <c r="C102">
        <v>76.13</v>
      </c>
      <c r="D102">
        <v>9.4369999999999994</v>
      </c>
      <c r="E102">
        <v>9.2899999999999991</v>
      </c>
      <c r="F102">
        <v>20.43</v>
      </c>
    </row>
    <row r="103" spans="1:6" x14ac:dyDescent="0.2">
      <c r="A103" s="4">
        <v>45995.505445289396</v>
      </c>
      <c r="B103">
        <v>473</v>
      </c>
      <c r="C103">
        <v>77.739999999999995</v>
      </c>
      <c r="D103">
        <v>9.2949999999999999</v>
      </c>
      <c r="E103">
        <v>9.16</v>
      </c>
      <c r="F103">
        <v>20.43</v>
      </c>
    </row>
    <row r="104" spans="1:6" x14ac:dyDescent="0.2">
      <c r="A104" s="4">
        <v>45995.505462766203</v>
      </c>
      <c r="B104">
        <v>983</v>
      </c>
      <c r="C104">
        <v>79.25</v>
      </c>
      <c r="D104">
        <v>9.1609999999999996</v>
      </c>
      <c r="E104">
        <v>9.0399999999999991</v>
      </c>
      <c r="F104">
        <v>20.43</v>
      </c>
    </row>
    <row r="105" spans="1:6" x14ac:dyDescent="0.2">
      <c r="A105" s="4">
        <v>45995.505481527798</v>
      </c>
      <c r="B105">
        <v>604</v>
      </c>
      <c r="C105">
        <v>80.87</v>
      </c>
      <c r="D105">
        <v>9.0340000000000007</v>
      </c>
      <c r="E105">
        <v>8.9130000000000003</v>
      </c>
      <c r="F105">
        <v>20.420000000000002</v>
      </c>
    </row>
    <row r="106" spans="1:6" x14ac:dyDescent="0.2">
      <c r="A106" s="4">
        <v>45995.505500752297</v>
      </c>
      <c r="B106">
        <v>265</v>
      </c>
      <c r="C106">
        <v>82.53</v>
      </c>
      <c r="D106">
        <v>8.9030000000000005</v>
      </c>
      <c r="E106">
        <v>8.7850000000000001</v>
      </c>
      <c r="F106">
        <v>20.420000000000002</v>
      </c>
    </row>
    <row r="107" spans="1:6" x14ac:dyDescent="0.2">
      <c r="A107" s="4">
        <v>45995.505519259299</v>
      </c>
      <c r="B107">
        <v>864</v>
      </c>
      <c r="C107">
        <v>84.13</v>
      </c>
      <c r="D107">
        <v>8.7720000000000002</v>
      </c>
      <c r="E107">
        <v>8.6630000000000003</v>
      </c>
      <c r="F107">
        <v>20.420000000000002</v>
      </c>
    </row>
    <row r="108" spans="1:6" x14ac:dyDescent="0.2">
      <c r="A108" s="4">
        <v>45995.505539398102</v>
      </c>
      <c r="B108">
        <v>604</v>
      </c>
      <c r="C108">
        <v>85.87</v>
      </c>
      <c r="D108">
        <v>8.6489999999999991</v>
      </c>
      <c r="E108">
        <v>8.532</v>
      </c>
      <c r="F108">
        <v>20.420000000000002</v>
      </c>
    </row>
    <row r="109" spans="1:6" x14ac:dyDescent="0.2">
      <c r="A109" s="4">
        <v>45995.505558206001</v>
      </c>
      <c r="B109">
        <v>229</v>
      </c>
      <c r="C109">
        <v>87.49</v>
      </c>
      <c r="D109">
        <v>8.4969999999999999</v>
      </c>
      <c r="E109">
        <v>8.4109999999999996</v>
      </c>
      <c r="F109">
        <v>20.420000000000002</v>
      </c>
    </row>
    <row r="110" spans="1:6" x14ac:dyDescent="0.2">
      <c r="A110" s="4">
        <v>45995.505576608797</v>
      </c>
      <c r="B110">
        <v>819</v>
      </c>
      <c r="C110">
        <v>89.08</v>
      </c>
      <c r="D110">
        <v>8.3789999999999996</v>
      </c>
      <c r="E110">
        <v>8.2940000000000005</v>
      </c>
      <c r="F110">
        <v>20.420000000000002</v>
      </c>
    </row>
    <row r="111" spans="1:6" x14ac:dyDescent="0.2">
      <c r="A111" s="4">
        <v>45995.5055953704</v>
      </c>
      <c r="B111">
        <v>440</v>
      </c>
      <c r="C111">
        <v>90.7</v>
      </c>
      <c r="D111">
        <v>8.2579999999999991</v>
      </c>
      <c r="E111">
        <v>8.1760000000000002</v>
      </c>
      <c r="F111">
        <v>20.420000000000002</v>
      </c>
    </row>
    <row r="112" spans="1:6" x14ac:dyDescent="0.2">
      <c r="A112" s="4">
        <v>45995.505624652797</v>
      </c>
      <c r="B112">
        <v>970</v>
      </c>
      <c r="C112">
        <v>93.23</v>
      </c>
      <c r="D112">
        <v>8.0779999999999994</v>
      </c>
      <c r="E112">
        <v>7.9960000000000004</v>
      </c>
      <c r="F112">
        <v>20.420000000000002</v>
      </c>
    </row>
    <row r="113" spans="1:6" x14ac:dyDescent="0.2">
      <c r="A113" s="4">
        <v>45995.505643298602</v>
      </c>
      <c r="B113">
        <v>581</v>
      </c>
      <c r="C113">
        <v>94.84</v>
      </c>
      <c r="D113">
        <v>7.9489999999999998</v>
      </c>
      <c r="E113">
        <v>7.883</v>
      </c>
      <c r="F113">
        <v>20.420000000000002</v>
      </c>
    </row>
    <row r="114" spans="1:6" x14ac:dyDescent="0.2">
      <c r="A114" s="4">
        <v>45995.505662280098</v>
      </c>
      <c r="B114">
        <v>221</v>
      </c>
      <c r="C114">
        <v>96.48</v>
      </c>
      <c r="D114">
        <v>7.8360000000000003</v>
      </c>
      <c r="E114">
        <v>7.7690000000000001</v>
      </c>
      <c r="F114">
        <v>20.420000000000002</v>
      </c>
    </row>
    <row r="115" spans="1:6" x14ac:dyDescent="0.2">
      <c r="A115" s="4">
        <v>45995.505680578703</v>
      </c>
      <c r="B115">
        <v>802</v>
      </c>
      <c r="C115">
        <v>98.07</v>
      </c>
      <c r="D115">
        <v>7.7229999999999999</v>
      </c>
      <c r="E115">
        <v>7.6609999999999996</v>
      </c>
      <c r="F115">
        <v>20.420000000000002</v>
      </c>
    </row>
    <row r="116" spans="1:6" x14ac:dyDescent="0.2">
      <c r="A116" s="4">
        <v>45995.505699085603</v>
      </c>
      <c r="B116">
        <v>401</v>
      </c>
      <c r="C116">
        <v>99.66</v>
      </c>
      <c r="D116">
        <v>7.6059999999999999</v>
      </c>
      <c r="E116">
        <v>7.5529999999999999</v>
      </c>
      <c r="F116">
        <v>20.420000000000002</v>
      </c>
    </row>
    <row r="117" spans="1:6" x14ac:dyDescent="0.2">
      <c r="A117" s="4">
        <v>45995.505717604203</v>
      </c>
      <c r="B117">
        <v>1</v>
      </c>
      <c r="C117">
        <v>101.26</v>
      </c>
      <c r="D117">
        <v>7.4969999999999999</v>
      </c>
      <c r="E117">
        <v>7.4459999999999997</v>
      </c>
      <c r="F117">
        <v>20.420000000000002</v>
      </c>
    </row>
    <row r="118" spans="1:6" x14ac:dyDescent="0.2">
      <c r="A118" s="4">
        <v>45995.5057359028</v>
      </c>
      <c r="B118">
        <v>582</v>
      </c>
      <c r="C118">
        <v>102.85</v>
      </c>
      <c r="D118">
        <v>7.383</v>
      </c>
      <c r="E118">
        <v>7.3419999999999996</v>
      </c>
      <c r="F118">
        <v>20.420000000000002</v>
      </c>
    </row>
    <row r="119" spans="1:6" x14ac:dyDescent="0.2">
      <c r="A119" s="4">
        <v>45995.505765486101</v>
      </c>
      <c r="B119">
        <v>138</v>
      </c>
      <c r="C119">
        <v>105.4</v>
      </c>
      <c r="D119">
        <v>7.2359999999999998</v>
      </c>
      <c r="E119">
        <v>7.1760000000000002</v>
      </c>
      <c r="F119">
        <v>20.420000000000002</v>
      </c>
    </row>
    <row r="120" spans="1:6" x14ac:dyDescent="0.2">
      <c r="A120" s="4">
        <v>45995.505785740701</v>
      </c>
      <c r="B120">
        <v>888</v>
      </c>
      <c r="C120">
        <v>107.15</v>
      </c>
      <c r="D120">
        <v>7.1310000000000002</v>
      </c>
      <c r="E120">
        <v>7.0640000000000001</v>
      </c>
      <c r="F120">
        <v>20.420000000000002</v>
      </c>
    </row>
    <row r="121" spans="1:6" x14ac:dyDescent="0.2">
      <c r="A121" s="4">
        <v>45995.505804386601</v>
      </c>
      <c r="B121">
        <v>499</v>
      </c>
      <c r="C121">
        <v>108.76</v>
      </c>
      <c r="D121">
        <v>7.0049999999999999</v>
      </c>
      <c r="E121">
        <v>6.9630000000000001</v>
      </c>
      <c r="F121">
        <v>20.420000000000002</v>
      </c>
    </row>
    <row r="122" spans="1:6" x14ac:dyDescent="0.2">
      <c r="A122" s="4">
        <v>45995.505822789397</v>
      </c>
      <c r="B122">
        <v>89</v>
      </c>
      <c r="C122">
        <v>110.35</v>
      </c>
      <c r="D122">
        <v>6.9020000000000001</v>
      </c>
      <c r="E122">
        <v>6.8639999999999999</v>
      </c>
      <c r="F122">
        <v>20.41</v>
      </c>
    </row>
    <row r="123" spans="1:6" x14ac:dyDescent="0.2">
      <c r="A123" s="4">
        <v>45995.505853229202</v>
      </c>
      <c r="B123">
        <v>719</v>
      </c>
      <c r="C123">
        <v>112.98</v>
      </c>
      <c r="D123">
        <v>6.7359999999999998</v>
      </c>
      <c r="E123">
        <v>6.7030000000000003</v>
      </c>
      <c r="F123">
        <v>20.41</v>
      </c>
    </row>
    <row r="124" spans="1:6" x14ac:dyDescent="0.2">
      <c r="A124" s="4">
        <v>45995.505884016202</v>
      </c>
      <c r="B124">
        <v>379</v>
      </c>
      <c r="C124">
        <v>115.64</v>
      </c>
      <c r="D124">
        <v>6.577</v>
      </c>
      <c r="E124">
        <v>6.5439999999999996</v>
      </c>
      <c r="F124">
        <v>20.41</v>
      </c>
    </row>
    <row r="125" spans="1:6" x14ac:dyDescent="0.2">
      <c r="A125" s="4">
        <v>45995.505902303201</v>
      </c>
      <c r="B125">
        <v>959</v>
      </c>
      <c r="C125">
        <v>117.22</v>
      </c>
      <c r="D125">
        <v>6.4740000000000002</v>
      </c>
      <c r="E125">
        <v>6.4509999999999996</v>
      </c>
      <c r="F125">
        <v>20.41</v>
      </c>
    </row>
    <row r="126" spans="1:6" x14ac:dyDescent="0.2">
      <c r="A126" s="4">
        <v>45995.505932754597</v>
      </c>
      <c r="B126">
        <v>590</v>
      </c>
      <c r="C126">
        <v>119.85</v>
      </c>
      <c r="D126">
        <v>6.3150000000000004</v>
      </c>
      <c r="E126">
        <v>6.2990000000000004</v>
      </c>
      <c r="F126">
        <v>20.41</v>
      </c>
    </row>
    <row r="127" spans="1:6" x14ac:dyDescent="0.2">
      <c r="A127" s="4">
        <v>45995.505962025498</v>
      </c>
      <c r="B127">
        <v>119</v>
      </c>
      <c r="C127">
        <v>122.38</v>
      </c>
      <c r="D127">
        <v>6.1689999999999996</v>
      </c>
      <c r="E127">
        <v>6.1550000000000002</v>
      </c>
      <c r="F127">
        <v>20.41</v>
      </c>
    </row>
    <row r="128" spans="1:6" x14ac:dyDescent="0.2">
      <c r="A128" s="4">
        <v>45995.505991666701</v>
      </c>
      <c r="B128">
        <v>680</v>
      </c>
      <c r="C128">
        <v>124.94</v>
      </c>
      <c r="D128">
        <v>6.0149999999999997</v>
      </c>
      <c r="E128">
        <v>6.0129999999999999</v>
      </c>
      <c r="F128">
        <v>20.41</v>
      </c>
    </row>
    <row r="129" spans="1:6" x14ac:dyDescent="0.2">
      <c r="A129" s="4">
        <v>45995.506017534703</v>
      </c>
      <c r="B129">
        <v>915</v>
      </c>
      <c r="C129">
        <v>127.18</v>
      </c>
      <c r="D129">
        <v>5.9050000000000002</v>
      </c>
      <c r="E129">
        <v>5.891</v>
      </c>
      <c r="F129">
        <v>20.41</v>
      </c>
    </row>
    <row r="130" spans="1:6" x14ac:dyDescent="0.2">
      <c r="A130" s="4">
        <v>45995.5060420718</v>
      </c>
      <c r="B130">
        <v>35</v>
      </c>
      <c r="C130">
        <v>129.30000000000001</v>
      </c>
      <c r="D130">
        <v>5.7969999999999997</v>
      </c>
      <c r="E130">
        <v>5.7770000000000001</v>
      </c>
      <c r="F130">
        <v>20.41</v>
      </c>
    </row>
    <row r="131" spans="1:6" x14ac:dyDescent="0.2">
      <c r="A131" s="4">
        <v>45995.506071713004</v>
      </c>
      <c r="B131">
        <v>596</v>
      </c>
      <c r="C131">
        <v>131.86000000000001</v>
      </c>
      <c r="D131">
        <v>5.65</v>
      </c>
      <c r="E131">
        <v>5.6420000000000003</v>
      </c>
      <c r="F131">
        <v>20.41</v>
      </c>
    </row>
    <row r="132" spans="1:6" x14ac:dyDescent="0.2">
      <c r="A132" s="4">
        <v>45995.506100648097</v>
      </c>
      <c r="B132">
        <v>96</v>
      </c>
      <c r="C132">
        <v>134.36000000000001</v>
      </c>
      <c r="D132">
        <v>5.5149999999999997</v>
      </c>
      <c r="E132">
        <v>5.5129999999999999</v>
      </c>
      <c r="F132">
        <v>20.41</v>
      </c>
    </row>
    <row r="133" spans="1:6" x14ac:dyDescent="0.2">
      <c r="A133" s="4">
        <v>45995.506130277798</v>
      </c>
      <c r="B133">
        <v>656</v>
      </c>
      <c r="C133">
        <v>136.91999999999999</v>
      </c>
      <c r="D133">
        <v>5.3710000000000004</v>
      </c>
      <c r="E133">
        <v>5.383</v>
      </c>
      <c r="F133">
        <v>20.41</v>
      </c>
    </row>
    <row r="134" spans="1:6" x14ac:dyDescent="0.2">
      <c r="A134" s="4">
        <v>45995.506160138902</v>
      </c>
      <c r="B134">
        <v>236</v>
      </c>
      <c r="C134">
        <v>139.5</v>
      </c>
      <c r="D134">
        <v>5.2409999999999997</v>
      </c>
      <c r="E134">
        <v>5.2549999999999999</v>
      </c>
      <c r="F134">
        <v>20.41</v>
      </c>
    </row>
    <row r="135" spans="1:6" x14ac:dyDescent="0.2">
      <c r="A135" s="4">
        <v>45995.5061909375</v>
      </c>
      <c r="B135">
        <v>897</v>
      </c>
      <c r="C135">
        <v>142.16</v>
      </c>
      <c r="D135">
        <v>5.1079999999999997</v>
      </c>
      <c r="E135">
        <v>5.1260000000000003</v>
      </c>
      <c r="F135">
        <v>20.399999999999999</v>
      </c>
    </row>
    <row r="136" spans="1:6" x14ac:dyDescent="0.2">
      <c r="A136" s="4">
        <v>45995.506220335701</v>
      </c>
      <c r="B136">
        <v>437</v>
      </c>
      <c r="C136">
        <v>144.69999999999999</v>
      </c>
      <c r="D136">
        <v>4.9960000000000004</v>
      </c>
      <c r="E136">
        <v>5.0049999999999999</v>
      </c>
      <c r="F136">
        <v>20.399999999999999</v>
      </c>
    </row>
    <row r="137" spans="1:6" x14ac:dyDescent="0.2">
      <c r="A137" s="4">
        <v>45995.5062497338</v>
      </c>
      <c r="B137">
        <v>977</v>
      </c>
      <c r="C137">
        <v>147.24</v>
      </c>
      <c r="D137">
        <v>4.8840000000000003</v>
      </c>
      <c r="E137">
        <v>4.8860000000000001</v>
      </c>
      <c r="F137">
        <v>20.399999999999999</v>
      </c>
    </row>
    <row r="138" spans="1:6" x14ac:dyDescent="0.2">
      <c r="A138" s="4">
        <v>45995.506280173598</v>
      </c>
      <c r="B138">
        <v>607</v>
      </c>
      <c r="C138">
        <v>149.87</v>
      </c>
      <c r="D138">
        <v>4.7670000000000003</v>
      </c>
      <c r="E138">
        <v>4.766</v>
      </c>
      <c r="F138">
        <v>20.399999999999999</v>
      </c>
    </row>
    <row r="139" spans="1:6" x14ac:dyDescent="0.2">
      <c r="A139" s="4">
        <v>45995.506310162004</v>
      </c>
      <c r="B139">
        <v>198</v>
      </c>
      <c r="C139">
        <v>152.46</v>
      </c>
      <c r="D139">
        <v>4.6449999999999996</v>
      </c>
      <c r="E139">
        <v>4.649</v>
      </c>
      <c r="F139">
        <v>20.399999999999999</v>
      </c>
    </row>
    <row r="140" spans="1:6" x14ac:dyDescent="0.2">
      <c r="A140" s="4">
        <v>45995.506339791697</v>
      </c>
      <c r="B140">
        <v>758</v>
      </c>
      <c r="C140">
        <v>155.02000000000001</v>
      </c>
      <c r="D140">
        <v>4.5369999999999999</v>
      </c>
      <c r="E140">
        <v>4.5369999999999999</v>
      </c>
      <c r="F140">
        <v>20.399999999999999</v>
      </c>
    </row>
    <row r="141" spans="1:6" x14ac:dyDescent="0.2">
      <c r="A141" s="4">
        <v>45995.506369664297</v>
      </c>
      <c r="B141">
        <v>339</v>
      </c>
      <c r="C141">
        <v>157.6</v>
      </c>
      <c r="D141">
        <v>4.41</v>
      </c>
      <c r="E141">
        <v>-99999</v>
      </c>
      <c r="F141">
        <v>20.399999999999999</v>
      </c>
    </row>
    <row r="142" spans="1:6" x14ac:dyDescent="0.2">
      <c r="A142" s="4"/>
    </row>
    <row r="143" spans="1:6" x14ac:dyDescent="0.2">
      <c r="A143" s="4"/>
    </row>
    <row r="144" spans="1:6" x14ac:dyDescent="0.2">
      <c r="A144" s="4"/>
    </row>
    <row r="145" spans="1:1" x14ac:dyDescent="0.2">
      <c r="A145" s="4"/>
    </row>
    <row r="146" spans="1:1" x14ac:dyDescent="0.2">
      <c r="A146" s="4"/>
    </row>
    <row r="147" spans="1:1" x14ac:dyDescent="0.2">
      <c r="A147" s="4"/>
    </row>
    <row r="148" spans="1:1" x14ac:dyDescent="0.2">
      <c r="A148" s="4"/>
    </row>
    <row r="149" spans="1:1" x14ac:dyDescent="0.2">
      <c r="A149" s="4"/>
    </row>
    <row r="150" spans="1:1" x14ac:dyDescent="0.2">
      <c r="A150" s="4"/>
    </row>
    <row r="151" spans="1:1" x14ac:dyDescent="0.2">
      <c r="A151" s="4"/>
    </row>
    <row r="152" spans="1:1" x14ac:dyDescent="0.2">
      <c r="A152" s="4"/>
    </row>
    <row r="153" spans="1:1" x14ac:dyDescent="0.2">
      <c r="A153" s="4"/>
    </row>
    <row r="154" spans="1:1" x14ac:dyDescent="0.2">
      <c r="A154" s="4"/>
    </row>
    <row r="155" spans="1:1" x14ac:dyDescent="0.2">
      <c r="A155" s="4"/>
    </row>
    <row r="156" spans="1:1" x14ac:dyDescent="0.2">
      <c r="A156" s="4"/>
    </row>
    <row r="157" spans="1:1" x14ac:dyDescent="0.2">
      <c r="A157" s="4"/>
    </row>
    <row r="158" spans="1:1" x14ac:dyDescent="0.2">
      <c r="A158" s="4"/>
    </row>
    <row r="159" spans="1:1" x14ac:dyDescent="0.2">
      <c r="A159" s="4"/>
    </row>
    <row r="160" spans="1:1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AA79D9-F88E-4918-8321-60F82BB9AA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36AE03-4EE5-4B86-9438-192F2C3240EB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customXml/itemProps3.xml><?xml version="1.0" encoding="utf-8"?>
<ds:datastoreItem xmlns:ds="http://schemas.openxmlformats.org/officeDocument/2006/customXml" ds:itemID="{D3DA187A-DA4D-4693-B8ED-AC94B673E2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
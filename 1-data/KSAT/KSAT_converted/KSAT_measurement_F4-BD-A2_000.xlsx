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<sst xmlns="http://schemas.openxmlformats.org/spreadsheetml/2006/main" count="107" uniqueCount="107">
  <si>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</si>
  <si>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</si>
  <si>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</si>
  <si>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</si>
  <si>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</si>
  <si>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</si>
  <si>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</si>
  <si>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</si>
  <si>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</si>
  <si>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</si>
  <si>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</si>
  <si>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</si>
  <si>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KSAT_measurement_F4-BD-A2_000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</si>
  <si>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</si>
  <si>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</si>
  <si>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</si>
  <si>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</si>
  <si>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</si>
  <si>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</si>
  <si>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</si>
  <si>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</si>
  <si>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</si>
  <si>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</si>
  <si>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</si>
  <si>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</si>
  <si>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</si>
  <si>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</si>
  <si>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</si>
  <si>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</si>
  <si>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</si>
  <si>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</si>
  <si>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</si>
  <si>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</si>
  <si>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</si>
  <si>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</si>
  <si>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</si>
  <si>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</si>
  <si>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</si>
  <si>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</si>
  <si>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</si>
  <si>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</si>
  <si>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</si>
  <si>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</si>
  <si>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</si>
  <si>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</si>
  <si>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</si>
  <si>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</si>
  <si>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</si>
  <si>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</si>
  <si>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</si>
  <si>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</si>
  <si>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</si>
  <si>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</si>
  <si>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</si>
  <si>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</si>
  <si>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</si>
  <si>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</si>
  <si>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</si>
  <si>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</si>
  <si>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</si>
  <si>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</si>
  <si>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</si>
  <si>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</si>
  <si>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</si>
  <si>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</si>
  <si>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11/25/2025 12:52:28 PM</t>
  </si>
  <si>
    <t>Test duration</t>
  </si>
  <si>
    <t>00:02:49</t>
  </si>
  <si>
    <t>RESULT</t>
  </si>
  <si>
    <t>Use auto offset adjustment</t>
  </si>
  <si>
    <t>Max offset adjustment [cm]</t>
  </si>
  <si>
    <t>1</t>
  </si>
  <si>
    <t>Fitting Parameter a [cm]</t>
  </si>
  <si>
    <t>15.37</t>
  </si>
  <si>
    <t>coefficient a of the fitted exponential pressure head decrease function y = a * exp(-b*t)+c, where y is the pressure head in cm and t is time in s</t>
  </si>
  <si>
    <t>Fitting Parameter b [s-1]</t>
  </si>
  <si>
    <t>-1.03E-02</t>
  </si>
  <si>
    <t>coefficient b of the fitted exponential pressure head decrease function y = a * exp(-b*t)+c, where y is the pressure head in cm and t is time in s</t>
  </si>
  <si>
    <t>Fitting Parameter c [cm]</t>
  </si>
  <si>
    <t>-1</t>
  </si>
  <si>
    <t>coefficient c of the fitted exponential pressure head decrease function y = a * exp(-b*t)+c, where y is the pressure head in cm and t is time in s</t>
  </si>
  <si>
    <t>Fitting Parameter r2 [-]</t>
  </si>
  <si>
    <t>0.9999</t>
  </si>
  <si>
    <t>coefficient of determination of the exponential pressure head decrease function that is fitted to the observed data</t>
  </si>
  <si>
    <t>Ks Total [cm/d]</t>
  </si>
  <si>
    <t>1270.000</t>
  </si>
  <si>
    <t>Saturated hydraulic conductivity [cm/d] of the entire system</t>
  </si>
  <si>
    <t>Ks Total [m/s]</t>
  </si>
  <si>
    <t>1.48E-04</t>
  </si>
  <si>
    <t>Saturated hydraulic conductivity [m/s] of the entire system</t>
  </si>
  <si>
    <t>Ks Soil [cm/d]</t>
  </si>
  <si>
    <t>1060.000</t>
  </si>
  <si>
    <t>Saturated hydraulic conductivity [cm/d] of the soil sample itself</t>
  </si>
  <si>
    <t>Ks Soil [m/s]</t>
  </si>
  <si>
    <t>1.23E-04</t>
  </si>
  <si>
    <t>Saturated hydraulic conductivity [m/s] of the soil sample itself</t>
  </si>
  <si>
    <t>1030.000</t>
  </si>
  <si>
    <t>Saturated hydraulic conductivity [cm/d] of the soil sample  normalized to 10 °C mean field temperature</t>
  </si>
  <si>
    <t>1.20E-04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</si>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</sst>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/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84</v>
      </c>
      <c r="B47" t="s">
        <v>85</v>
      </c>
      <c r="C47" t="s">
        <v>86</v>
      </c>
    </row>
    <row r="48" spans="1:3" x14ac:dyDescent="0.2">
      <c r="A48" t="s">
        <v>87</v>
      </c>
      <c r="B48" s="3" t="s">
        <v>88</v>
      </c>
      <c r="C48" s="3" t="s">
        <v>89</v>
      </c>
    </row>
    <row r="49" spans="1:6" x14ac:dyDescent="0.2">
      <c r="A49" t="s">
        <v>90</v>
      </c>
      <c r="B49" t="s">
        <v>91</v>
      </c>
      <c r="C49" t="s">
        <v>92</v>
      </c>
    </row>
    <row r="50" spans="1:6" x14ac:dyDescent="0.2">
      <c r="A50" t="s">
        <v>93</v>
      </c>
      <c r="B50" s="3" t="s">
        <v>94</v>
      </c>
      <c r="C50" s="3" t="s">
        <v>95</v>
      </c>
    </row>
    <row r="51" spans="1:6" x14ac:dyDescent="0.2">
      <c r="A51" t="str">
        <f>CONCATENATE("Ks Soil normalized at ",B32," °C [cm/d]")</f>
        <v>Ks Soil normalized at 20 °C [cm/d]</v>
      </c>
      <c r="B51" t="s">
        <v>96</v>
      </c>
      <c r="C51" t="s">
        <v>97</v>
      </c>
    </row>
    <row r="52" spans="1:6" x14ac:dyDescent="0.2">
      <c r="A52" t="str">
        <f>CONCATENATE("Ks Soil normalized at ",B32," °C [m/s]")</f>
        <v>Ks Soil normalized at 20 °C [m/s]</v>
      </c>
      <c r="B52" s="3" t="s">
        <v>98</v>
      </c>
      <c r="C52" s="3" t="s">
        <v>99</v>
      </c>
    </row>
    <row r="54" spans="1:6" x14ac:dyDescent="0.2">
      <c r="A54" t="s">
        <v>100</v>
      </c>
    </row>
    <row r="55" spans="1:6" x14ac:dyDescent="0.2">
      <c r="A55" s="1" t="s">
        <v>101</v>
      </c>
      <c r="B55" t="s">
        <v>102</v>
      </c>
      <c r="C55" t="s">
        <v>103</v>
      </c>
      <c r="D55" t="s">
        <v>104</v>
      </c>
      <c r="E55" t="s">
        <v>105</v>
      </c>
      <c r="F55" t="s">
        <v>106</v>
      </c>
    </row>
    <row r="56" spans="1:6" x14ac:dyDescent="0.2">
      <c r="A56" s="4">
        <v>45986.536439664298</v>
      </c>
      <c r="B56">
        <v>387</v>
      </c>
      <c r="C56">
        <v>-9.85</v>
      </c>
      <c r="D56">
        <v>-0.32500000000000001</v>
      </c>
      <c r="E56">
        <v>-99999</v>
      </c>
      <c r="F56">
        <v>21.21</v>
      </c>
    </row>
    <row r="57" spans="1:6" x14ac:dyDescent="0.2">
      <c r="A57" s="4">
        <v>45986.536539953697</v>
      </c>
      <c r="B57">
        <v>52</v>
      </c>
      <c r="C57">
        <v>-1.19</v>
      </c>
      <c r="D57">
        <v>16.559999999999999</v>
      </c>
      <c r="E57">
        <v>-99999</v>
      </c>
      <c r="F57">
        <v>21.21</v>
      </c>
    </row>
    <row r="58" spans="1:6" x14ac:dyDescent="0.2">
      <c r="A58" s="4">
        <v>45986.536553715297</v>
      </c>
      <c r="B58">
        <v>241</v>
      </c>
      <c r="C58">
        <v>0</v>
      </c>
      <c r="D58">
        <v>16.366</v>
      </c>
      <c r="E58">
        <v>16.366</v>
      </c>
      <c r="F58">
        <v>21.21</v>
      </c>
    </row>
    <row r="59" spans="1:6" x14ac:dyDescent="0.2">
      <c r="A59" s="4">
        <v>45986.536569803196</v>
      </c>
      <c r="B59">
        <v>631</v>
      </c>
      <c r="C59">
        <v>1.39</v>
      </c>
      <c r="D59">
        <v>16.119</v>
      </c>
      <c r="E59">
        <v>16.148</v>
      </c>
      <c r="F59">
        <v>21.21</v>
      </c>
    </row>
    <row r="60" spans="1:6" x14ac:dyDescent="0.2">
      <c r="A60" s="4">
        <v>45986.536593090299</v>
      </c>
      <c r="B60">
        <v>643</v>
      </c>
      <c r="C60">
        <v>3.4</v>
      </c>
      <c r="D60">
        <v>15.832000000000001</v>
      </c>
      <c r="E60">
        <v>15.837999999999999</v>
      </c>
      <c r="F60">
        <v>21.21</v>
      </c>
    </row>
    <row r="61" spans="1:6" x14ac:dyDescent="0.2">
      <c r="A61" s="4">
        <v>45986.5366168287</v>
      </c>
      <c r="B61">
        <v>694</v>
      </c>
      <c r="C61">
        <v>5.45</v>
      </c>
      <c r="D61">
        <v>15.565</v>
      </c>
      <c r="E61">
        <v>15.529</v>
      </c>
      <c r="F61">
        <v>21.22</v>
      </c>
    </row>
    <row r="62" spans="1:6" x14ac:dyDescent="0.2">
      <c r="A62" s="4">
        <v>45986.536643159699</v>
      </c>
      <c r="B62">
        <v>969</v>
      </c>
      <c r="C62">
        <v>7.73</v>
      </c>
      <c r="D62">
        <v>15.242000000000001</v>
      </c>
      <c r="E62">
        <v>15.193</v>
      </c>
      <c r="F62">
        <v>21.22</v>
      </c>
    </row>
    <row r="63" spans="1:6" x14ac:dyDescent="0.2">
      <c r="A63" s="4">
        <v>45986.536679444398</v>
      </c>
      <c r="B63">
        <v>104</v>
      </c>
      <c r="C63">
        <v>10.86</v>
      </c>
      <c r="D63">
        <v>14.705</v>
      </c>
      <c r="E63">
        <v>14.743</v>
      </c>
      <c r="F63">
        <v>21.22</v>
      </c>
    </row>
    <row r="64" spans="1:6" x14ac:dyDescent="0.2">
      <c r="A64" s="4">
        <v>45986.5367121296</v>
      </c>
      <c r="B64">
        <v>928</v>
      </c>
      <c r="C64">
        <v>13.69</v>
      </c>
      <c r="D64">
        <v>14.327</v>
      </c>
      <c r="E64">
        <v>14.35</v>
      </c>
      <c r="F64">
        <v>21.22</v>
      </c>
    </row>
    <row r="65" spans="1:6" x14ac:dyDescent="0.2">
      <c r="A65" s="4">
        <v>45986.536735659698</v>
      </c>
      <c r="B65">
        <v>961</v>
      </c>
      <c r="C65">
        <v>15.72</v>
      </c>
      <c r="D65">
        <v>14.058</v>
      </c>
      <c r="E65">
        <v>14.074</v>
      </c>
      <c r="F65">
        <v>21.24</v>
      </c>
    </row>
    <row r="66" spans="1:6" x14ac:dyDescent="0.2">
      <c r="A66" s="4">
        <v>45986.536759016199</v>
      </c>
      <c r="B66">
        <v>979</v>
      </c>
      <c r="C66">
        <v>17.739999999999998</v>
      </c>
      <c r="D66">
        <v>13.798999999999999</v>
      </c>
      <c r="E66">
        <v>13.805999999999999</v>
      </c>
      <c r="F66">
        <v>21.24</v>
      </c>
    </row>
    <row r="67" spans="1:6" x14ac:dyDescent="0.2">
      <c r="A67" s="4">
        <v>45986.536782164403</v>
      </c>
      <c r="B67">
        <v>979</v>
      </c>
      <c r="C67">
        <v>19.739999999999998</v>
      </c>
      <c r="D67">
        <v>13.542999999999999</v>
      </c>
      <c r="E67">
        <v>13.545999999999999</v>
      </c>
      <c r="F67">
        <v>21.24</v>
      </c>
    </row>
    <row r="68" spans="1:6" x14ac:dyDescent="0.2">
      <c r="A68" s="4">
        <v>45986.536805416697</v>
      </c>
      <c r="B68">
        <v>988</v>
      </c>
      <c r="C68">
        <v>21.75</v>
      </c>
      <c r="D68">
        <v>13.289</v>
      </c>
      <c r="E68">
        <v>13.29</v>
      </c>
      <c r="F68">
        <v>21.24</v>
      </c>
    </row>
    <row r="69" spans="1:6" x14ac:dyDescent="0.2">
      <c r="A69" s="4">
        <v>45986.536828715303</v>
      </c>
      <c r="B69">
        <v>1</v>
      </c>
      <c r="C69">
        <v>23.76</v>
      </c>
      <c r="D69">
        <v>12.996</v>
      </c>
      <c r="E69">
        <v>13.038</v>
      </c>
      <c r="F69">
        <v>21.24</v>
      </c>
    </row>
    <row r="70" spans="1:6" x14ac:dyDescent="0.2">
      <c r="A70" s="4">
        <v>45986.5368527315</v>
      </c>
      <c r="B70">
        <v>76</v>
      </c>
      <c r="C70">
        <v>25.83</v>
      </c>
      <c r="D70">
        <v>12.743</v>
      </c>
      <c r="E70">
        <v>12.784000000000001</v>
      </c>
      <c r="F70">
        <v>21.21</v>
      </c>
    </row>
    <row r="71" spans="1:6" x14ac:dyDescent="0.2">
      <c r="A71" s="4">
        <v>45986.536875694401</v>
      </c>
      <c r="B71">
        <v>60</v>
      </c>
      <c r="C71">
        <v>27.82</v>
      </c>
      <c r="D71">
        <v>12.542999999999999</v>
      </c>
      <c r="E71">
        <v>12.545999999999999</v>
      </c>
      <c r="F71">
        <v>21.21</v>
      </c>
    </row>
    <row r="72" spans="1:6" x14ac:dyDescent="0.2">
      <c r="A72" s="4">
        <v>45986.536900254599</v>
      </c>
      <c r="B72">
        <v>182</v>
      </c>
      <c r="C72">
        <v>29.94</v>
      </c>
      <c r="D72">
        <v>12.26</v>
      </c>
      <c r="E72">
        <v>12.297000000000001</v>
      </c>
      <c r="F72">
        <v>21.21</v>
      </c>
    </row>
    <row r="73" spans="1:6" x14ac:dyDescent="0.2">
      <c r="A73" s="4">
        <v>45986.536923726897</v>
      </c>
      <c r="B73">
        <v>210</v>
      </c>
      <c r="C73">
        <v>31.97</v>
      </c>
      <c r="D73">
        <v>12.031000000000001</v>
      </c>
      <c r="E73">
        <v>12.064</v>
      </c>
      <c r="F73">
        <v>21.21</v>
      </c>
    </row>
    <row r="74" spans="1:6" x14ac:dyDescent="0.2">
      <c r="A74" s="4">
        <v>45986.5369474537</v>
      </c>
      <c r="B74">
        <v>260</v>
      </c>
      <c r="C74">
        <v>34.020000000000003</v>
      </c>
      <c r="D74">
        <v>11.856999999999999</v>
      </c>
      <c r="E74">
        <v>11.834</v>
      </c>
      <c r="F74">
        <v>21.21</v>
      </c>
    </row>
    <row r="75" spans="1:6" x14ac:dyDescent="0.2">
      <c r="A75" s="4">
        <v>45986.536970949099</v>
      </c>
      <c r="B75">
        <v>290</v>
      </c>
      <c r="C75">
        <v>36.049999999999997</v>
      </c>
      <c r="D75">
        <v>11.59</v>
      </c>
      <c r="E75">
        <v>11.61</v>
      </c>
      <c r="F75">
        <v>21.18</v>
      </c>
    </row>
    <row r="76" spans="1:6" x14ac:dyDescent="0.2">
      <c r="A76" s="4">
        <v>45986.536995520801</v>
      </c>
      <c r="B76">
        <v>413</v>
      </c>
      <c r="C76">
        <v>38.17</v>
      </c>
      <c r="D76">
        <v>11.327999999999999</v>
      </c>
      <c r="E76">
        <v>11.381</v>
      </c>
      <c r="F76">
        <v>21.18</v>
      </c>
    </row>
    <row r="77" spans="1:6" x14ac:dyDescent="0.2">
      <c r="A77" s="4">
        <v>45986.537018946801</v>
      </c>
      <c r="B77">
        <v>437</v>
      </c>
      <c r="C77">
        <v>40.200000000000003</v>
      </c>
      <c r="D77">
        <v>11.154</v>
      </c>
      <c r="E77">
        <v>11.167999999999999</v>
      </c>
      <c r="F77">
        <v>21.18</v>
      </c>
    </row>
    <row r="78" spans="1:6" x14ac:dyDescent="0.2">
      <c r="A78" s="4">
        <v>45986.537042534699</v>
      </c>
      <c r="B78">
        <v>475</v>
      </c>
      <c r="C78">
        <v>42.23</v>
      </c>
      <c r="D78">
        <v>10.96</v>
      </c>
      <c r="E78">
        <v>10.957000000000001</v>
      </c>
      <c r="F78">
        <v>21.18</v>
      </c>
    </row>
    <row r="79" spans="1:6" x14ac:dyDescent="0.2">
      <c r="A79" s="4">
        <v>45986.537066712997</v>
      </c>
      <c r="B79">
        <v>564</v>
      </c>
      <c r="C79">
        <v>44.32</v>
      </c>
      <c r="D79">
        <v>10.693</v>
      </c>
      <c r="E79">
        <v>10.746</v>
      </c>
      <c r="F79">
        <v>21.18</v>
      </c>
    </row>
    <row r="80" spans="1:6" x14ac:dyDescent="0.2">
      <c r="A80" s="4">
        <v>45986.537091770799</v>
      </c>
      <c r="B80">
        <v>729</v>
      </c>
      <c r="C80">
        <v>46.49</v>
      </c>
      <c r="D80">
        <v>10.449</v>
      </c>
      <c r="E80">
        <v>10.531000000000001</v>
      </c>
      <c r="F80">
        <v>21.17</v>
      </c>
    </row>
    <row r="81" spans="1:6" x14ac:dyDescent="0.2">
      <c r="A81" s="4">
        <v>45986.537116330997</v>
      </c>
      <c r="B81">
        <v>851</v>
      </c>
      <c r="C81">
        <v>48.61</v>
      </c>
      <c r="D81">
        <v>10.254</v>
      </c>
      <c r="E81">
        <v>10.326000000000001</v>
      </c>
      <c r="F81">
        <v>21.17</v>
      </c>
    </row>
    <row r="82" spans="1:6" x14ac:dyDescent="0.2">
      <c r="A82" s="4">
        <v>45986.537141180597</v>
      </c>
      <c r="B82">
        <v>998</v>
      </c>
      <c r="C82">
        <v>50.76</v>
      </c>
      <c r="D82">
        <v>10.058999999999999</v>
      </c>
      <c r="E82">
        <v>10.122</v>
      </c>
      <c r="F82">
        <v>21.17</v>
      </c>
    </row>
    <row r="83" spans="1:6" x14ac:dyDescent="0.2">
      <c r="A83" s="4">
        <v>45986.537165370399</v>
      </c>
      <c r="B83">
        <v>88</v>
      </c>
      <c r="C83">
        <v>52.85</v>
      </c>
      <c r="D83">
        <v>9.8680000000000003</v>
      </c>
      <c r="E83">
        <v>9.9290000000000003</v>
      </c>
      <c r="F83">
        <v>21.17</v>
      </c>
    </row>
    <row r="84" spans="1:6" x14ac:dyDescent="0.2">
      <c r="A84" s="4">
        <v>45986.537189050898</v>
      </c>
      <c r="B84">
        <v>134</v>
      </c>
      <c r="C84">
        <v>54.89</v>
      </c>
      <c r="D84">
        <v>9.6829999999999998</v>
      </c>
      <c r="E84">
        <v>9.7430000000000003</v>
      </c>
      <c r="F84">
        <v>21.17</v>
      </c>
    </row>
    <row r="85" spans="1:6" x14ac:dyDescent="0.2">
      <c r="A85" s="4">
        <v>45986.537213287003</v>
      </c>
      <c r="B85">
        <v>228</v>
      </c>
      <c r="C85">
        <v>56.99</v>
      </c>
      <c r="D85">
        <v>9.5020000000000007</v>
      </c>
      <c r="E85">
        <v>9.5570000000000004</v>
      </c>
      <c r="F85">
        <v>21.17</v>
      </c>
    </row>
    <row r="86" spans="1:6" x14ac:dyDescent="0.2">
      <c r="A86" s="4">
        <v>45986.537237939803</v>
      </c>
      <c r="B86">
        <v>358</v>
      </c>
      <c r="C86">
        <v>59.12</v>
      </c>
      <c r="D86">
        <v>9.32</v>
      </c>
      <c r="E86">
        <v>9.3719999999999999</v>
      </c>
      <c r="F86">
        <v>21.17</v>
      </c>
    </row>
    <row r="87" spans="1:6" x14ac:dyDescent="0.2">
      <c r="A87" s="4">
        <v>45986.537261794001</v>
      </c>
      <c r="B87">
        <v>419</v>
      </c>
      <c r="C87">
        <v>61.18</v>
      </c>
      <c r="D87">
        <v>9.11</v>
      </c>
      <c r="E87">
        <v>9.1959999999999997</v>
      </c>
      <c r="F87">
        <v>21.17</v>
      </c>
    </row>
    <row r="88" spans="1:6" x14ac:dyDescent="0.2">
      <c r="A88" s="4">
        <v>45986.537286099498</v>
      </c>
      <c r="B88">
        <v>519</v>
      </c>
      <c r="C88">
        <v>63.28</v>
      </c>
      <c r="D88">
        <v>8.9060000000000006</v>
      </c>
      <c r="E88">
        <v>9.0210000000000008</v>
      </c>
      <c r="F88">
        <v>21.17</v>
      </c>
    </row>
    <row r="89" spans="1:6" x14ac:dyDescent="0.2">
      <c r="A89" s="4">
        <v>45986.537311168999</v>
      </c>
      <c r="B89">
        <v>685</v>
      </c>
      <c r="C89">
        <v>65.44</v>
      </c>
      <c r="D89">
        <v>8.7349999999999994</v>
      </c>
      <c r="E89">
        <v>8.8450000000000006</v>
      </c>
      <c r="F89">
        <v>21.18</v>
      </c>
    </row>
    <row r="90" spans="1:6" x14ac:dyDescent="0.2">
      <c r="A90" s="4">
        <v>45986.537336157402</v>
      </c>
      <c r="B90">
        <v>844</v>
      </c>
      <c r="C90">
        <v>67.599999999999994</v>
      </c>
      <c r="D90">
        <v>8.5730000000000004</v>
      </c>
      <c r="E90">
        <v>8.673</v>
      </c>
      <c r="F90">
        <v>21.18</v>
      </c>
    </row>
    <row r="91" spans="1:6" x14ac:dyDescent="0.2">
      <c r="A91" s="4">
        <v>45986.537360972201</v>
      </c>
      <c r="B91">
        <v>988</v>
      </c>
      <c r="C91">
        <v>69.75</v>
      </c>
      <c r="D91">
        <v>8.4179999999999993</v>
      </c>
      <c r="E91">
        <v>8.5060000000000002</v>
      </c>
      <c r="F91">
        <v>21.18</v>
      </c>
    </row>
    <row r="92" spans="1:6" x14ac:dyDescent="0.2">
      <c r="A92" s="4">
        <v>45986.537384583302</v>
      </c>
      <c r="B92">
        <v>28</v>
      </c>
      <c r="C92">
        <v>71.790000000000006</v>
      </c>
      <c r="D92">
        <v>8.2370000000000001</v>
      </c>
      <c r="E92">
        <v>8.35</v>
      </c>
      <c r="F92">
        <v>21.18</v>
      </c>
    </row>
    <row r="93" spans="1:6" x14ac:dyDescent="0.2">
      <c r="A93" s="4">
        <v>45986.537408830998</v>
      </c>
      <c r="B93">
        <v>123</v>
      </c>
      <c r="C93">
        <v>73.88</v>
      </c>
      <c r="D93">
        <v>8.1010000000000009</v>
      </c>
      <c r="E93">
        <v>8.1929999999999996</v>
      </c>
      <c r="F93">
        <v>21.18</v>
      </c>
    </row>
    <row r="94" spans="1:6" x14ac:dyDescent="0.2">
      <c r="A94" s="4">
        <v>45986.5374321528</v>
      </c>
      <c r="B94">
        <v>138</v>
      </c>
      <c r="C94">
        <v>75.900000000000006</v>
      </c>
      <c r="D94">
        <v>7.952</v>
      </c>
      <c r="E94">
        <v>8.0459999999999994</v>
      </c>
      <c r="F94">
        <v>21.18</v>
      </c>
    </row>
    <row r="95" spans="1:6" x14ac:dyDescent="0.2">
      <c r="A95" s="4">
        <v>45986.5374557986</v>
      </c>
      <c r="B95">
        <v>181</v>
      </c>
      <c r="C95">
        <v>77.94</v>
      </c>
      <c r="D95">
        <v>7.81</v>
      </c>
      <c r="E95">
        <v>7.9</v>
      </c>
      <c r="F95">
        <v>21.18</v>
      </c>
    </row>
    <row r="96" spans="1:6" x14ac:dyDescent="0.2">
      <c r="A96" s="4">
        <v>45986.537479780098</v>
      </c>
      <c r="B96">
        <v>253</v>
      </c>
      <c r="C96">
        <v>80.010000000000005</v>
      </c>
      <c r="D96">
        <v>7.665</v>
      </c>
      <c r="E96">
        <v>7.7539999999999996</v>
      </c>
      <c r="F96">
        <v>21.18</v>
      </c>
    </row>
    <row r="97" spans="1:6" x14ac:dyDescent="0.2">
      <c r="A97" s="4">
        <v>45986.537507754598</v>
      </c>
      <c r="B97">
        <v>670</v>
      </c>
      <c r="C97">
        <v>82.43</v>
      </c>
      <c r="D97">
        <v>7.4809999999999999</v>
      </c>
      <c r="E97">
        <v>7.5890000000000004</v>
      </c>
      <c r="F97">
        <v>21.18</v>
      </c>
    </row>
    <row r="98" spans="1:6" x14ac:dyDescent="0.2">
      <c r="A98" s="4">
        <v>45986.537532037</v>
      </c>
      <c r="B98">
        <v>768</v>
      </c>
      <c r="C98">
        <v>84.53</v>
      </c>
      <c r="D98">
        <v>7.3479999999999999</v>
      </c>
      <c r="E98">
        <v>7.4480000000000004</v>
      </c>
      <c r="F98">
        <v>21.18</v>
      </c>
    </row>
    <row r="99" spans="1:6" x14ac:dyDescent="0.2">
      <c r="A99" s="4">
        <v>45986.537555254603</v>
      </c>
      <c r="B99">
        <v>774</v>
      </c>
      <c r="C99">
        <v>86.53</v>
      </c>
      <c r="D99">
        <v>7.2169999999999996</v>
      </c>
      <c r="E99">
        <v>7.3170000000000002</v>
      </c>
      <c r="F99">
        <v>21.18</v>
      </c>
    </row>
    <row r="100" spans="1:6" x14ac:dyDescent="0.2">
      <c r="A100" s="4">
        <v>45986.537578807904</v>
      </c>
      <c r="B100">
        <v>809</v>
      </c>
      <c r="C100">
        <v>88.57</v>
      </c>
      <c r="D100">
        <v>7.0919999999999996</v>
      </c>
      <c r="E100">
        <v>7.1859999999999999</v>
      </c>
      <c r="F100">
        <v>21.18</v>
      </c>
    </row>
    <row r="101" spans="1:6" x14ac:dyDescent="0.2">
      <c r="A101" s="4">
        <v>45986.537602430602</v>
      </c>
      <c r="B101">
        <v>850</v>
      </c>
      <c r="C101">
        <v>90.61</v>
      </c>
      <c r="D101">
        <v>6.984</v>
      </c>
      <c r="E101">
        <v>7.0579999999999998</v>
      </c>
      <c r="F101">
        <v>21.18</v>
      </c>
    </row>
    <row r="102" spans="1:6" x14ac:dyDescent="0.2">
      <c r="A102" s="4">
        <v>45986.537626192097</v>
      </c>
      <c r="B102">
        <v>903</v>
      </c>
      <c r="C102">
        <v>92.66</v>
      </c>
      <c r="D102">
        <v>6.8479999999999999</v>
      </c>
      <c r="E102">
        <v>6.931</v>
      </c>
      <c r="F102">
        <v>21.18</v>
      </c>
    </row>
    <row r="103" spans="1:6" x14ac:dyDescent="0.2">
      <c r="A103" s="4">
        <v>45986.537649317099</v>
      </c>
      <c r="B103">
        <v>901</v>
      </c>
      <c r="C103">
        <v>94.66</v>
      </c>
      <c r="D103">
        <v>6.6959999999999997</v>
      </c>
      <c r="E103">
        <v>6.8109999999999999</v>
      </c>
      <c r="F103">
        <v>21.18</v>
      </c>
    </row>
    <row r="104" spans="1:6" x14ac:dyDescent="0.2">
      <c r="A104" s="4">
        <v>45986.537672604201</v>
      </c>
      <c r="B104">
        <v>913</v>
      </c>
      <c r="C104">
        <v>96.67</v>
      </c>
      <c r="D104">
        <v>6.5789999999999997</v>
      </c>
      <c r="E104">
        <v>6.6920000000000002</v>
      </c>
      <c r="F104">
        <v>21.19</v>
      </c>
    </row>
    <row r="105" spans="1:6" x14ac:dyDescent="0.2">
      <c r="A105" s="4">
        <v>45986.537695914398</v>
      </c>
      <c r="B105">
        <v>927</v>
      </c>
      <c r="C105">
        <v>98.69</v>
      </c>
      <c r="D105">
        <v>6.4649999999999999</v>
      </c>
      <c r="E105">
        <v>6.5750000000000002</v>
      </c>
      <c r="F105">
        <v>21.19</v>
      </c>
    </row>
    <row r="106" spans="1:6" x14ac:dyDescent="0.2">
      <c r="A106" s="4">
        <v>45986.5377188657</v>
      </c>
      <c r="B106">
        <v>910</v>
      </c>
      <c r="C106">
        <v>100.67</v>
      </c>
      <c r="D106">
        <v>6.359</v>
      </c>
      <c r="E106">
        <v>6.4630000000000001</v>
      </c>
      <c r="F106">
        <v>21.19</v>
      </c>
    </row>
    <row r="107" spans="1:6" x14ac:dyDescent="0.2">
      <c r="A107" s="4">
        <v>45986.5377530556</v>
      </c>
      <c r="B107">
        <v>864</v>
      </c>
      <c r="C107">
        <v>103.62</v>
      </c>
      <c r="D107">
        <v>6.234</v>
      </c>
      <c r="E107">
        <v>6.3</v>
      </c>
      <c r="F107">
        <v>21.19</v>
      </c>
    </row>
    <row r="108" spans="1:6" x14ac:dyDescent="0.2">
      <c r="A108" s="4">
        <v>45986.537776655103</v>
      </c>
      <c r="B108">
        <v>903</v>
      </c>
      <c r="C108">
        <v>105.66</v>
      </c>
      <c r="D108">
        <v>6.1040000000000001</v>
      </c>
      <c r="E108">
        <v>6.19</v>
      </c>
      <c r="F108">
        <v>21.2</v>
      </c>
    </row>
    <row r="109" spans="1:6" x14ac:dyDescent="0.2">
      <c r="A109" s="4">
        <v>45986.537798634301</v>
      </c>
      <c r="B109">
        <v>802</v>
      </c>
      <c r="C109">
        <v>107.56</v>
      </c>
      <c r="D109">
        <v>5.9980000000000002</v>
      </c>
      <c r="E109">
        <v>6.0890000000000004</v>
      </c>
      <c r="F109">
        <v>21.2</v>
      </c>
    </row>
    <row r="110" spans="1:6" x14ac:dyDescent="0.2">
      <c r="A110" s="4">
        <v>45986.537832661998</v>
      </c>
      <c r="B110">
        <v>742</v>
      </c>
      <c r="C110">
        <v>110.5</v>
      </c>
      <c r="D110">
        <v>5.8410000000000002</v>
      </c>
      <c r="E110">
        <v>5.9379999999999997</v>
      </c>
      <c r="F110">
        <v>21.2</v>
      </c>
    </row>
    <row r="111" spans="1:6" x14ac:dyDescent="0.2">
      <c r="A111" s="4">
        <v>45986.5378668056</v>
      </c>
      <c r="B111">
        <v>692</v>
      </c>
      <c r="C111">
        <v>113.45</v>
      </c>
      <c r="D111">
        <v>5.726</v>
      </c>
      <c r="E111">
        <v>5.7910000000000004</v>
      </c>
      <c r="F111">
        <v>21.2</v>
      </c>
    </row>
    <row r="112" spans="1:6" x14ac:dyDescent="0.2">
      <c r="A112" s="4">
        <v>45986.537901076401</v>
      </c>
      <c r="B112">
        <v>653</v>
      </c>
      <c r="C112">
        <v>116.41</v>
      </c>
      <c r="D112">
        <v>5.57</v>
      </c>
      <c r="E112">
        <v>5.6470000000000002</v>
      </c>
      <c r="F112">
        <v>21.21</v>
      </c>
    </row>
    <row r="113" spans="1:6" x14ac:dyDescent="0.2">
      <c r="A113" s="4">
        <v>45986.537935254601</v>
      </c>
      <c r="B113">
        <v>606</v>
      </c>
      <c r="C113">
        <v>119.37</v>
      </c>
      <c r="D113">
        <v>5.4279999999999999</v>
      </c>
      <c r="E113">
        <v>5.508</v>
      </c>
      <c r="F113">
        <v>21.21</v>
      </c>
    </row>
    <row r="114" spans="1:6" x14ac:dyDescent="0.2">
      <c r="A114" s="4">
        <v>45986.537969293997</v>
      </c>
      <c r="B114">
        <v>547</v>
      </c>
      <c r="C114">
        <v>122.31</v>
      </c>
      <c r="D114">
        <v>5.3209999999999997</v>
      </c>
      <c r="E114">
        <v>5.3739999999999997</v>
      </c>
      <c r="F114">
        <v>21.21</v>
      </c>
    </row>
    <row r="115" spans="1:6" x14ac:dyDescent="0.2">
      <c r="A115" s="4">
        <v>45986.538002951398</v>
      </c>
      <c r="B115">
        <v>455</v>
      </c>
      <c r="C115">
        <v>125.21</v>
      </c>
      <c r="D115">
        <v>5.1779999999999999</v>
      </c>
      <c r="E115">
        <v>5.2450000000000001</v>
      </c>
      <c r="F115">
        <v>21.21</v>
      </c>
    </row>
    <row r="116" spans="1:6" x14ac:dyDescent="0.2">
      <c r="A116" s="4">
        <v>45986.538036898201</v>
      </c>
      <c r="B116">
        <v>388</v>
      </c>
      <c r="C116">
        <v>128.15</v>
      </c>
      <c r="D116">
        <v>5.0529999999999999</v>
      </c>
      <c r="E116">
        <v>5.1189999999999998</v>
      </c>
      <c r="F116">
        <v>21.21</v>
      </c>
    </row>
    <row r="117" spans="1:6" x14ac:dyDescent="0.2">
      <c r="A117" s="4">
        <v>45986.538082036997</v>
      </c>
      <c r="B117">
        <v>288</v>
      </c>
      <c r="C117">
        <v>132.05000000000001</v>
      </c>
      <c r="D117">
        <v>4.9080000000000004</v>
      </c>
      <c r="E117">
        <v>4.9580000000000002</v>
      </c>
      <c r="F117">
        <v>21.21</v>
      </c>
    </row>
    <row r="118" spans="1:6" x14ac:dyDescent="0.2">
      <c r="A118" s="4">
        <v>45986.538116504598</v>
      </c>
      <c r="B118">
        <v>266</v>
      </c>
      <c r="C118">
        <v>135.02000000000001</v>
      </c>
      <c r="D118">
        <v>4.7889999999999997</v>
      </c>
      <c r="E118">
        <v>4.8380000000000001</v>
      </c>
      <c r="F118">
        <v>21.21</v>
      </c>
    </row>
    <row r="119" spans="1:6" x14ac:dyDescent="0.2">
      <c r="A119" s="4">
        <v>45986.5381512616</v>
      </c>
      <c r="B119">
        <v>269</v>
      </c>
      <c r="C119">
        <v>138.03</v>
      </c>
      <c r="D119">
        <v>4.6769999999999996</v>
      </c>
      <c r="E119">
        <v>4.7220000000000004</v>
      </c>
      <c r="F119">
        <v>21.23</v>
      </c>
    </row>
    <row r="120" spans="1:6" x14ac:dyDescent="0.2">
      <c r="A120" s="4">
        <v>45986.538196018497</v>
      </c>
      <c r="B120">
        <v>136</v>
      </c>
      <c r="C120">
        <v>141.9</v>
      </c>
      <c r="D120">
        <v>4.548</v>
      </c>
      <c r="E120">
        <v>4.577</v>
      </c>
      <c r="F120">
        <v>21.23</v>
      </c>
    </row>
    <row r="121" spans="1:6" x14ac:dyDescent="0.2">
      <c r="A121" s="4">
        <v>45986.538230185201</v>
      </c>
      <c r="B121">
        <v>88</v>
      </c>
      <c r="C121">
        <v>144.85</v>
      </c>
      <c r="D121">
        <v>4.4379999999999997</v>
      </c>
      <c r="E121">
        <v>4.47</v>
      </c>
      <c r="F121">
        <v>21.23</v>
      </c>
    </row>
    <row r="122" spans="1:6" x14ac:dyDescent="0.2">
      <c r="A122" s="4">
        <v>45986.538275138897</v>
      </c>
      <c r="B122">
        <v>972</v>
      </c>
      <c r="C122">
        <v>148.72999999999999</v>
      </c>
      <c r="D122">
        <v>4.3170000000000002</v>
      </c>
      <c r="E122">
        <v>4.3339999999999996</v>
      </c>
      <c r="F122">
        <v>21.23</v>
      </c>
    </row>
    <row r="123" spans="1:6" x14ac:dyDescent="0.2">
      <c r="A123" s="4">
        <v>45986.538309027797</v>
      </c>
      <c r="B123">
        <v>900</v>
      </c>
      <c r="C123">
        <v>151.66</v>
      </c>
      <c r="D123">
        <v>4.2140000000000004</v>
      </c>
      <c r="E123">
        <v>4.2350000000000003</v>
      </c>
      <c r="F123">
        <v>21.23</v>
      </c>
    </row>
    <row r="124" spans="1:6" x14ac:dyDescent="0.2">
      <c r="A124" s="4">
        <v>45986.538353553202</v>
      </c>
      <c r="B124">
        <v>747</v>
      </c>
      <c r="C124">
        <v>155.51</v>
      </c>
      <c r="D124">
        <v>4.1100000000000003</v>
      </c>
      <c r="E124">
        <v>4.1100000000000003</v>
      </c>
      <c r="F124">
        <v>21.24</v>
      </c>
    </row>
    <row r="125" spans="1:6" x14ac:dyDescent="0.2">
      <c r="A125" s="4">
        <v>45986.538398229197</v>
      </c>
      <c r="B125">
        <v>607</v>
      </c>
      <c r="C125">
        <v>159.37</v>
      </c>
      <c r="D125">
        <v>3.99</v>
      </c>
      <c r="E125">
        <v>-99999</v>
      </c>
      <c r="F125">
        <v>21.24</v>
      </c>
    </row>
    <row r="126" spans="1:6" x14ac:dyDescent="0.2">
      <c r="A126" s="4"/>
    </row>
    <row r="127" spans="1:6" x14ac:dyDescent="0.2">
      <c r="A127" s="4"/>
    </row>
    <row r="128" spans="1:6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8DB351-AC33-4D87-AEF3-3176ED1904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42B0C-A6FA-4E09-9AD0-56BF9E5CB6B5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3.xml><?xml version="1.0" encoding="utf-8"?>
<ds:datastoreItem xmlns:ds="http://schemas.openxmlformats.org/officeDocument/2006/customXml" ds:itemID="{25F0574F-BB1E-46B9-930D-03296E2AAE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
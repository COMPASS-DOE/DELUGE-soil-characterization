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pnnl.sharepoint.com/teams/SoilPhysicsBSF/Shared Documents/Other physical properties/Fall 2025 - DELUGE/"/>
    </mc:Choice>
  </mc:AlternateContent>
  <xr:revisionPtr revIDLastSave="386" documentId="8_{B6491630-8661-4DD9-8863-812D1CDE519C}" xr6:coauthVersionLast="47" xr6:coauthVersionMax="47" xr10:uidLastSave="{60FCF3BE-0124-4807-B6B9-5D3C8967B630}"/>
  <bookViews>
    <workbookView xWindow="-110" yWindow="-110" windowWidth="19420" windowHeight="11500" activeTab="4" xr2:uid="{01E9E8E8-7204-48B3-A208-B3F04DFE56DB}"/>
  </bookViews>
  <sheets>
    <sheet name="NaCl" sheetId="1" r:id="rId1"/>
    <sheet name="MgCl" sheetId="3" r:id="rId2"/>
    <sheet name="LiCl" sheetId="2" r:id="rId3"/>
    <sheet name="constants and calculation" sheetId="4" r:id="rId4"/>
    <sheet name="compare of salts for SAA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5" l="1"/>
  <c r="E8" i="5"/>
  <c r="E32" i="5"/>
  <c r="E26" i="5"/>
  <c r="E14" i="5"/>
  <c r="E20" i="5"/>
  <c r="H21" i="1"/>
  <c r="O3" i="2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O32" i="2"/>
  <c r="P32" i="2"/>
  <c r="O33" i="2"/>
  <c r="P33" i="2"/>
  <c r="O34" i="2"/>
  <c r="P34" i="2"/>
  <c r="O35" i="2"/>
  <c r="P35" i="2"/>
  <c r="O36" i="2"/>
  <c r="P36" i="2"/>
  <c r="O37" i="2"/>
  <c r="P37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O3" i="3"/>
  <c r="P3" i="3"/>
  <c r="O4" i="3"/>
  <c r="P4" i="3"/>
  <c r="O5" i="3"/>
  <c r="P5" i="3"/>
  <c r="O6" i="3"/>
  <c r="P6" i="3"/>
  <c r="O7" i="3"/>
  <c r="P7" i="3"/>
  <c r="O8" i="3"/>
  <c r="P8" i="3"/>
  <c r="O9" i="3"/>
  <c r="P9" i="3"/>
  <c r="O10" i="3"/>
  <c r="P10" i="3"/>
  <c r="O11" i="3"/>
  <c r="P11" i="3"/>
  <c r="O12" i="3"/>
  <c r="P12" i="3"/>
  <c r="O13" i="3"/>
  <c r="P13" i="3"/>
  <c r="O14" i="3"/>
  <c r="P14" i="3"/>
  <c r="O15" i="3"/>
  <c r="P15" i="3"/>
  <c r="O16" i="3"/>
  <c r="P16" i="3"/>
  <c r="O17" i="3"/>
  <c r="P17" i="3"/>
  <c r="O18" i="3"/>
  <c r="P18" i="3"/>
  <c r="O19" i="3"/>
  <c r="P19" i="3"/>
  <c r="O20" i="3"/>
  <c r="P20" i="3"/>
  <c r="O21" i="3"/>
  <c r="P21" i="3"/>
  <c r="O22" i="3"/>
  <c r="P22" i="3"/>
  <c r="O23" i="3"/>
  <c r="P23" i="3"/>
  <c r="O24" i="3"/>
  <c r="P24" i="3"/>
  <c r="O25" i="3"/>
  <c r="P25" i="3"/>
  <c r="O26" i="3"/>
  <c r="P26" i="3"/>
  <c r="O27" i="3"/>
  <c r="P27" i="3"/>
  <c r="O28" i="3"/>
  <c r="P28" i="3"/>
  <c r="O29" i="3"/>
  <c r="P29" i="3"/>
  <c r="O30" i="3"/>
  <c r="P30" i="3"/>
  <c r="O31" i="3"/>
  <c r="P31" i="3"/>
  <c r="O32" i="3"/>
  <c r="P32" i="3"/>
  <c r="O33" i="3"/>
  <c r="P33" i="3"/>
  <c r="O34" i="3"/>
  <c r="P34" i="3"/>
  <c r="O35" i="3"/>
  <c r="P35" i="3"/>
  <c r="O36" i="3"/>
  <c r="P36" i="3"/>
  <c r="O37" i="3"/>
  <c r="P37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O3" i="1"/>
  <c r="P3" i="1"/>
  <c r="O4" i="1"/>
  <c r="P4" i="1"/>
  <c r="O5" i="1"/>
  <c r="P5" i="1"/>
  <c r="O6" i="1"/>
  <c r="P6" i="1"/>
  <c r="O7" i="1"/>
  <c r="P7" i="1"/>
  <c r="O8" i="1"/>
  <c r="P8" i="1"/>
  <c r="O9" i="1"/>
  <c r="P9" i="1"/>
  <c r="O10" i="1"/>
  <c r="P10" i="1"/>
  <c r="O11" i="1"/>
  <c r="P11" i="1"/>
  <c r="O12" i="1"/>
  <c r="P12" i="1"/>
  <c r="O13" i="1"/>
  <c r="P13" i="1"/>
  <c r="O14" i="1"/>
  <c r="P14" i="1"/>
  <c r="O15" i="1"/>
  <c r="P15" i="1"/>
  <c r="O16" i="1"/>
  <c r="P16" i="1"/>
  <c r="O17" i="1"/>
  <c r="P17" i="1"/>
  <c r="O18" i="1"/>
  <c r="P18" i="1"/>
  <c r="O19" i="1"/>
  <c r="P19" i="1"/>
  <c r="O20" i="1"/>
  <c r="P20" i="1"/>
  <c r="O22" i="1"/>
  <c r="P22" i="1"/>
  <c r="O23" i="1"/>
  <c r="P23" i="1"/>
  <c r="O24" i="1"/>
  <c r="P24" i="1"/>
  <c r="O25" i="1"/>
  <c r="P25" i="1"/>
  <c r="O26" i="1"/>
  <c r="P26" i="1"/>
  <c r="O27" i="1"/>
  <c r="P27" i="1"/>
  <c r="O28" i="1"/>
  <c r="P28" i="1"/>
  <c r="O29" i="1"/>
  <c r="P29" i="1"/>
  <c r="O30" i="1"/>
  <c r="P30" i="1"/>
  <c r="O31" i="1"/>
  <c r="P31" i="1"/>
  <c r="O32" i="1"/>
  <c r="P32" i="1"/>
  <c r="O33" i="1"/>
  <c r="P33" i="1"/>
  <c r="O34" i="1"/>
  <c r="P34" i="1"/>
  <c r="O35" i="1"/>
  <c r="P35" i="1"/>
  <c r="O36" i="1"/>
  <c r="P36" i="1"/>
  <c r="O37" i="1"/>
  <c r="P37" i="1"/>
  <c r="O2" i="2"/>
  <c r="P2" i="2" s="1"/>
  <c r="O2" i="3"/>
  <c r="P2" i="3" s="1"/>
  <c r="J2" i="2"/>
  <c r="J2" i="3"/>
  <c r="P2" i="1"/>
  <c r="O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" i="1"/>
  <c r="J4" i="1"/>
  <c r="J5" i="1"/>
  <c r="J6" i="1"/>
  <c r="J7" i="1"/>
  <c r="J8" i="1"/>
  <c r="J9" i="1"/>
  <c r="J10" i="1"/>
  <c r="J11" i="1"/>
  <c r="J12" i="1"/>
  <c r="K2" i="1"/>
  <c r="J2" i="1"/>
  <c r="H3" i="2"/>
  <c r="I3" i="2"/>
  <c r="K3" i="2"/>
  <c r="H4" i="2"/>
  <c r="I4" i="2"/>
  <c r="K4" i="2"/>
  <c r="H5" i="2"/>
  <c r="I5" i="2"/>
  <c r="K5" i="2"/>
  <c r="H6" i="2"/>
  <c r="I6" i="2"/>
  <c r="K6" i="2"/>
  <c r="H7" i="2"/>
  <c r="I7" i="2"/>
  <c r="K7" i="2"/>
  <c r="H8" i="2"/>
  <c r="I8" i="2"/>
  <c r="K8" i="2"/>
  <c r="H9" i="2"/>
  <c r="I9" i="2"/>
  <c r="K9" i="2"/>
  <c r="H10" i="2"/>
  <c r="I10" i="2"/>
  <c r="K10" i="2"/>
  <c r="H11" i="2"/>
  <c r="I11" i="2"/>
  <c r="K11" i="2"/>
  <c r="H12" i="2"/>
  <c r="I12" i="2"/>
  <c r="K12" i="2"/>
  <c r="H13" i="2"/>
  <c r="I13" i="2"/>
  <c r="K13" i="2"/>
  <c r="H14" i="2"/>
  <c r="I14" i="2"/>
  <c r="K14" i="2"/>
  <c r="H15" i="2"/>
  <c r="I15" i="2"/>
  <c r="K15" i="2"/>
  <c r="H16" i="2"/>
  <c r="I16" i="2"/>
  <c r="K16" i="2"/>
  <c r="H17" i="2"/>
  <c r="I17" i="2"/>
  <c r="K17" i="2"/>
  <c r="H18" i="2"/>
  <c r="I18" i="2"/>
  <c r="K18" i="2"/>
  <c r="H19" i="2"/>
  <c r="I19" i="2"/>
  <c r="K19" i="2"/>
  <c r="H20" i="2"/>
  <c r="I20" i="2"/>
  <c r="K20" i="2"/>
  <c r="H21" i="2"/>
  <c r="I21" i="2"/>
  <c r="K21" i="2"/>
  <c r="H22" i="2"/>
  <c r="I22" i="2"/>
  <c r="K22" i="2"/>
  <c r="H23" i="2"/>
  <c r="I23" i="2"/>
  <c r="K23" i="2"/>
  <c r="H24" i="2"/>
  <c r="I24" i="2"/>
  <c r="K24" i="2"/>
  <c r="H25" i="2"/>
  <c r="I25" i="2"/>
  <c r="K25" i="2"/>
  <c r="H26" i="2"/>
  <c r="I26" i="2"/>
  <c r="K26" i="2"/>
  <c r="H27" i="2"/>
  <c r="I27" i="2"/>
  <c r="K27" i="2"/>
  <c r="H28" i="2"/>
  <c r="I28" i="2"/>
  <c r="K28" i="2"/>
  <c r="H29" i="2"/>
  <c r="I29" i="2"/>
  <c r="K29" i="2"/>
  <c r="H30" i="2"/>
  <c r="I30" i="2"/>
  <c r="K30" i="2"/>
  <c r="H31" i="2"/>
  <c r="I31" i="2"/>
  <c r="K31" i="2"/>
  <c r="H32" i="2"/>
  <c r="I32" i="2"/>
  <c r="K32" i="2"/>
  <c r="H33" i="2"/>
  <c r="I33" i="2"/>
  <c r="K33" i="2"/>
  <c r="H34" i="2"/>
  <c r="I34" i="2"/>
  <c r="K34" i="2"/>
  <c r="H35" i="2"/>
  <c r="I35" i="2"/>
  <c r="K35" i="2"/>
  <c r="H36" i="2"/>
  <c r="I36" i="2"/>
  <c r="K36" i="2"/>
  <c r="H37" i="2"/>
  <c r="I37" i="2"/>
  <c r="K37" i="2"/>
  <c r="I2" i="2"/>
  <c r="H2" i="2"/>
  <c r="H3" i="3"/>
  <c r="I3" i="3"/>
  <c r="K3" i="3"/>
  <c r="H4" i="3"/>
  <c r="I4" i="3"/>
  <c r="K4" i="3"/>
  <c r="H5" i="3"/>
  <c r="I5" i="3"/>
  <c r="K5" i="3"/>
  <c r="H6" i="3"/>
  <c r="I6" i="3"/>
  <c r="K6" i="3"/>
  <c r="H7" i="3"/>
  <c r="I7" i="3"/>
  <c r="K7" i="3"/>
  <c r="H8" i="3"/>
  <c r="I8" i="3"/>
  <c r="K8" i="3"/>
  <c r="H9" i="3"/>
  <c r="I9" i="3"/>
  <c r="K9" i="3"/>
  <c r="H10" i="3"/>
  <c r="I10" i="3"/>
  <c r="K10" i="3"/>
  <c r="H11" i="3"/>
  <c r="I11" i="3"/>
  <c r="K11" i="3"/>
  <c r="H12" i="3"/>
  <c r="I12" i="3"/>
  <c r="K12" i="3"/>
  <c r="H13" i="3"/>
  <c r="I13" i="3"/>
  <c r="K13" i="3"/>
  <c r="H14" i="3"/>
  <c r="I14" i="3"/>
  <c r="K14" i="3"/>
  <c r="H15" i="3"/>
  <c r="I15" i="3"/>
  <c r="K15" i="3"/>
  <c r="H16" i="3"/>
  <c r="I16" i="3"/>
  <c r="K16" i="3"/>
  <c r="H17" i="3"/>
  <c r="I17" i="3"/>
  <c r="K17" i="3"/>
  <c r="H18" i="3"/>
  <c r="I18" i="3"/>
  <c r="K18" i="3"/>
  <c r="H19" i="3"/>
  <c r="I19" i="3"/>
  <c r="K19" i="3"/>
  <c r="H20" i="3"/>
  <c r="I20" i="3"/>
  <c r="K20" i="3"/>
  <c r="H21" i="3"/>
  <c r="I21" i="3"/>
  <c r="K21" i="3"/>
  <c r="H22" i="3"/>
  <c r="I22" i="3"/>
  <c r="K22" i="3"/>
  <c r="H23" i="3"/>
  <c r="I23" i="3"/>
  <c r="K23" i="3"/>
  <c r="H24" i="3"/>
  <c r="I24" i="3"/>
  <c r="K24" i="3"/>
  <c r="H25" i="3"/>
  <c r="I25" i="3"/>
  <c r="K25" i="3"/>
  <c r="H26" i="3"/>
  <c r="I26" i="3"/>
  <c r="K26" i="3"/>
  <c r="H27" i="3"/>
  <c r="I27" i="3"/>
  <c r="K27" i="3"/>
  <c r="H28" i="3"/>
  <c r="I28" i="3"/>
  <c r="K28" i="3"/>
  <c r="H29" i="3"/>
  <c r="I29" i="3"/>
  <c r="K29" i="3"/>
  <c r="H30" i="3"/>
  <c r="I30" i="3"/>
  <c r="K30" i="3"/>
  <c r="H31" i="3"/>
  <c r="I31" i="3"/>
  <c r="K31" i="3"/>
  <c r="H32" i="3"/>
  <c r="I32" i="3"/>
  <c r="K32" i="3"/>
  <c r="H33" i="3"/>
  <c r="I33" i="3"/>
  <c r="K33" i="3"/>
  <c r="H34" i="3"/>
  <c r="I34" i="3"/>
  <c r="K34" i="3"/>
  <c r="H35" i="3"/>
  <c r="I35" i="3"/>
  <c r="K35" i="3"/>
  <c r="H36" i="3"/>
  <c r="I36" i="3"/>
  <c r="K36" i="3"/>
  <c r="H37" i="3"/>
  <c r="I37" i="3"/>
  <c r="K37" i="3"/>
  <c r="I2" i="3"/>
  <c r="H2" i="3"/>
  <c r="H3" i="1"/>
  <c r="I3" i="1"/>
  <c r="K3" i="1"/>
  <c r="H4" i="1"/>
  <c r="I4" i="1"/>
  <c r="K4" i="1"/>
  <c r="H5" i="1"/>
  <c r="I5" i="1"/>
  <c r="K5" i="1"/>
  <c r="H6" i="1"/>
  <c r="I6" i="1"/>
  <c r="K6" i="1"/>
  <c r="H7" i="1"/>
  <c r="I7" i="1"/>
  <c r="K7" i="1"/>
  <c r="H8" i="1"/>
  <c r="I8" i="1"/>
  <c r="K8" i="1"/>
  <c r="H9" i="1"/>
  <c r="I9" i="1"/>
  <c r="K9" i="1"/>
  <c r="H10" i="1"/>
  <c r="I10" i="1"/>
  <c r="K10" i="1"/>
  <c r="H11" i="1"/>
  <c r="I11" i="1"/>
  <c r="K11" i="1"/>
  <c r="H12" i="1"/>
  <c r="I12" i="1"/>
  <c r="K12" i="1"/>
  <c r="H13" i="1"/>
  <c r="I13" i="1"/>
  <c r="K13" i="1"/>
  <c r="H14" i="1"/>
  <c r="I14" i="1"/>
  <c r="K14" i="1"/>
  <c r="H15" i="1"/>
  <c r="I15" i="1"/>
  <c r="K15" i="1"/>
  <c r="H16" i="1"/>
  <c r="I16" i="1"/>
  <c r="K16" i="1"/>
  <c r="H17" i="1"/>
  <c r="I17" i="1"/>
  <c r="K17" i="1"/>
  <c r="H18" i="1"/>
  <c r="I18" i="1"/>
  <c r="K18" i="1"/>
  <c r="H19" i="1"/>
  <c r="I19" i="1"/>
  <c r="K19" i="1"/>
  <c r="H20" i="1"/>
  <c r="I20" i="1"/>
  <c r="K20" i="1"/>
  <c r="I21" i="1"/>
  <c r="K21" i="1"/>
  <c r="O21" i="1" s="1"/>
  <c r="P21" i="1" s="1"/>
  <c r="H22" i="1"/>
  <c r="I22" i="1"/>
  <c r="K22" i="1"/>
  <c r="H23" i="1"/>
  <c r="I23" i="1"/>
  <c r="K23" i="1"/>
  <c r="H24" i="1"/>
  <c r="I24" i="1"/>
  <c r="K24" i="1"/>
  <c r="H25" i="1"/>
  <c r="I25" i="1"/>
  <c r="K25" i="1"/>
  <c r="H26" i="1"/>
  <c r="I26" i="1"/>
  <c r="K26" i="1"/>
  <c r="H27" i="1"/>
  <c r="I27" i="1"/>
  <c r="K27" i="1"/>
  <c r="H28" i="1"/>
  <c r="I28" i="1"/>
  <c r="K28" i="1"/>
  <c r="H29" i="1"/>
  <c r="I29" i="1"/>
  <c r="K29" i="1"/>
  <c r="H30" i="1"/>
  <c r="I30" i="1"/>
  <c r="K30" i="1"/>
  <c r="H31" i="1"/>
  <c r="I31" i="1"/>
  <c r="K31" i="1"/>
  <c r="H32" i="1"/>
  <c r="I32" i="1"/>
  <c r="K32" i="1"/>
  <c r="H33" i="1"/>
  <c r="I33" i="1"/>
  <c r="K33" i="1"/>
  <c r="H34" i="1"/>
  <c r="I34" i="1"/>
  <c r="K34" i="1"/>
  <c r="H35" i="1"/>
  <c r="I35" i="1"/>
  <c r="K35" i="1"/>
  <c r="H36" i="1"/>
  <c r="I36" i="1"/>
  <c r="K36" i="1"/>
  <c r="H37" i="1"/>
  <c r="I37" i="1"/>
  <c r="K37" i="1"/>
  <c r="I2" i="1"/>
  <c r="H2" i="1"/>
  <c r="K2" i="2" l="1"/>
  <c r="K2" i="3"/>
</calcChain>
</file>

<file path=xl/sharedStrings.xml><?xml version="1.0" encoding="utf-8"?>
<sst xmlns="http://schemas.openxmlformats.org/spreadsheetml/2006/main" count="220" uniqueCount="76">
  <si>
    <t>Label ID</t>
  </si>
  <si>
    <t xml:space="preserve"> WP4C try number </t>
  </si>
  <si>
    <t>Tray Tare wieght (g)</t>
  </si>
  <si>
    <t>Moist soil + tray (g)</t>
  </si>
  <si>
    <t>Dry soil +tray (g)</t>
  </si>
  <si>
    <t>WP4C pressure (MPa)</t>
  </si>
  <si>
    <t>Temp (C)</t>
  </si>
  <si>
    <t>soil dry mass (g)</t>
  </si>
  <si>
    <t>water (g)</t>
  </si>
  <si>
    <t>Ѱ (m)</t>
  </si>
  <si>
    <t>gravimetric WC</t>
  </si>
  <si>
    <t>ρw</t>
  </si>
  <si>
    <t>k</t>
  </si>
  <si>
    <t>g</t>
  </si>
  <si>
    <t>S (m2/kg)</t>
  </si>
  <si>
    <t>S (m2/g)</t>
  </si>
  <si>
    <t>DLG_F1_BD_A-1</t>
  </si>
  <si>
    <t>DLG_F1_BD_A-2</t>
  </si>
  <si>
    <t>DLG_F1_BD_A-3</t>
  </si>
  <si>
    <t>DLG_F1_BD_B-1</t>
  </si>
  <si>
    <t>DLG_F1_BD_B-2</t>
  </si>
  <si>
    <t>DLG_F1_BD_B-3</t>
  </si>
  <si>
    <t>DLG_F2_BD_A1</t>
  </si>
  <si>
    <t>DLG_F2_BD_A-2</t>
  </si>
  <si>
    <t>DLG_F2_BD_A-3</t>
  </si>
  <si>
    <t>DLG_F2_BD_B-1</t>
  </si>
  <si>
    <t>DLG_F2_BD_B-2</t>
  </si>
  <si>
    <t>DLG_F2_BD_B-3</t>
  </si>
  <si>
    <t>DLG_F3_BD_A-1</t>
  </si>
  <si>
    <t>DLG_F3_BD_A-2</t>
  </si>
  <si>
    <t>DLG_F3_BD_A-3</t>
  </si>
  <si>
    <t>DLG_F3_BD_B-1</t>
  </si>
  <si>
    <t>DLG_F3_BD_B-2</t>
  </si>
  <si>
    <t>DLG_F3_BD_B-3</t>
  </si>
  <si>
    <t>DLG_F4_BD_A-1</t>
  </si>
  <si>
    <t>DLG_F4_BD_A-2</t>
  </si>
  <si>
    <t>DLG_F4_BD_A-3</t>
  </si>
  <si>
    <t>DLG_F4_BD_B-1</t>
  </si>
  <si>
    <t>DLG_F4_BD_B-2</t>
  </si>
  <si>
    <t>DLG_F4_BD_B-3</t>
  </si>
  <si>
    <t>DLG_R1_BD_A-1</t>
  </si>
  <si>
    <t>DLG_R1_BD_A-2</t>
  </si>
  <si>
    <t>DLG_R1_BD_A-3</t>
  </si>
  <si>
    <t>DLG_R1_BD_B-1</t>
  </si>
  <si>
    <t>DLG_R1_BD_B-2</t>
  </si>
  <si>
    <t>DLG_R1_BD_B-3</t>
  </si>
  <si>
    <t>DLG_R2_BD_A-1</t>
  </si>
  <si>
    <t>DLG_R2_BD_A-2</t>
  </si>
  <si>
    <t>DLG_R2_BD_A-3</t>
  </si>
  <si>
    <t>DLG_R2_BD_B-1</t>
  </si>
  <si>
    <t>DLG_R2_BD_B-2</t>
  </si>
  <si>
    <t>DLG_R2_BD_B-3</t>
  </si>
  <si>
    <t>symbol</t>
  </si>
  <si>
    <t xml:space="preserve">coeficient </t>
  </si>
  <si>
    <t>constant value (or measure)</t>
  </si>
  <si>
    <t>Units</t>
  </si>
  <si>
    <t>w</t>
  </si>
  <si>
    <t>water content</t>
  </si>
  <si>
    <t>measured</t>
  </si>
  <si>
    <t>g/g</t>
  </si>
  <si>
    <t>density water</t>
  </si>
  <si>
    <t>kg/m3</t>
  </si>
  <si>
    <t>Ѱ</t>
  </si>
  <si>
    <t>water potential</t>
  </si>
  <si>
    <t xml:space="preserve">m </t>
  </si>
  <si>
    <t>S</t>
  </si>
  <si>
    <t>specific surface area</t>
  </si>
  <si>
    <t>calculated</t>
  </si>
  <si>
    <t>m2/kg</t>
  </si>
  <si>
    <t>Hamaker constant</t>
  </si>
  <si>
    <t>J = kg.m2/s2</t>
  </si>
  <si>
    <t>NaCl S (m2/g)</t>
  </si>
  <si>
    <t>MgCl S (m2/g)</t>
  </si>
  <si>
    <t>LiCl S (m2/g)</t>
  </si>
  <si>
    <t>orange is very different from other measurements</t>
  </si>
  <si>
    <t>Red is data that needs to be re-run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</si>
</sst>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BE2D5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70AD47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wrapText="1"/>
    </xf>
    <xf numFmtId="0" fontId="2" fillId="0" borderId="0" xfId="0" applyFont="1" applyFill="1" applyBorder="1" applyAlignment="1"/>
    <xf numFmtId="0" fontId="2" fillId="2" borderId="1" xfId="0" applyFont="1" applyFill="1" applyBorder="1" applyAlignment="1"/>
    <xf numFmtId="0" fontId="1" fillId="0" borderId="5" xfId="0" applyFont="1" applyFill="1" applyBorder="1" applyAlignment="1"/>
    <xf numFmtId="0" fontId="2" fillId="0" borderId="5" xfId="0" applyFont="1" applyFill="1" applyBorder="1" applyAlignment="1"/>
    <xf numFmtId="0" fontId="2" fillId="2" borderId="2" xfId="0" applyFont="1" applyFill="1" applyBorder="1" applyAlignment="1"/>
    <xf numFmtId="0" fontId="2" fillId="2" borderId="3" xfId="0" applyFont="1" applyFill="1" applyBorder="1" applyAlignment="1"/>
    <xf numFmtId="0" fontId="1" fillId="0" borderId="4" xfId="0" applyFont="1" applyFill="1" applyBorder="1" applyAlignment="1"/>
    <xf numFmtId="0" fontId="2" fillId="0" borderId="4" xfId="0" applyFont="1" applyFill="1" applyBorder="1" applyAlignment="1"/>
    <xf numFmtId="0" fontId="2" fillId="2" borderId="0" xfId="0" applyFont="1" applyFill="1" applyBorder="1" applyAlignment="1"/>
    <xf numFmtId="0" fontId="2" fillId="2" borderId="4" xfId="0" applyFont="1" applyFill="1" applyBorder="1" applyAlignment="1"/>
    <xf numFmtId="0" fontId="2" fillId="3" borderId="0" xfId="0" applyFont="1" applyFill="1" applyBorder="1" applyAlignment="1"/>
    <xf numFmtId="0" fontId="1" fillId="4" borderId="5" xfId="0" applyFont="1" applyFill="1" applyBorder="1" applyAlignment="1"/>
    <xf numFmtId="0" fontId="2" fillId="4" borderId="5" xfId="0" applyFont="1" applyFill="1" applyBorder="1" applyAlignment="1"/>
    <xf numFmtId="0" fontId="2" fillId="4" borderId="0" xfId="0" applyFont="1" applyFill="1" applyBorder="1" applyAlignment="1"/>
    <xf numFmtId="0" fontId="1" fillId="4" borderId="0" xfId="0" applyFont="1" applyFill="1" applyBorder="1" applyAlignment="1"/>
    <xf numFmtId="0" fontId="1" fillId="4" borderId="4" xfId="0" applyFont="1" applyFill="1" applyBorder="1" applyAlignment="1"/>
    <xf numFmtId="0" fontId="2" fillId="4" borderId="4" xfId="0" applyFont="1" applyFill="1" applyBorder="1" applyAlignment="1"/>
    <xf numFmtId="0" fontId="3" fillId="0" borderId="0" xfId="0" applyFont="1"/>
    <xf numFmtId="0" fontId="3" fillId="0" borderId="0" xfId="0" applyFont="1" applyAlignment="1">
      <alignment wrapText="1"/>
    </xf>
    <xf numFmtId="0" fontId="0" fillId="5" borderId="0" xfId="0" applyFill="1"/>
    <xf numFmtId="11" fontId="0" fillId="0" borderId="0" xfId="0" applyNumberFormat="1"/>
    <xf numFmtId="0" fontId="0" fillId="0" borderId="0" xfId="0" applyNumberFormat="1"/>
    <xf numFmtId="0" fontId="4" fillId="0" borderId="0" xfId="0" applyFont="1" applyFill="1" applyBorder="1" applyAlignment="1"/>
    <xf numFmtId="0" fontId="0" fillId="0" borderId="0" xfId="0" applyFill="1"/>
    <xf numFmtId="0" fontId="5" fillId="0" borderId="0" xfId="0" applyFont="1" applyFill="1" applyBorder="1" applyAlignment="1"/>
    <xf numFmtId="0" fontId="3" fillId="0" borderId="0" xfId="0" applyFont="1" applyFill="1"/>
    <xf numFmtId="11" fontId="5" fillId="0" borderId="0" xfId="0" applyNumberFormat="1" applyFont="1" applyFill="1" applyBorder="1" applyAlignment="1"/>
    <xf numFmtId="0" fontId="6" fillId="0" borderId="0" xfId="0" applyFont="1" applyFill="1" applyBorder="1" applyAlignment="1"/>
    <xf numFmtId="11" fontId="6" fillId="0" borderId="0" xfId="0" applyNumberFormat="1" applyFont="1" applyFill="1" applyBorder="1" applyAlignment="1"/>
    <xf numFmtId="0" fontId="4" fillId="6" borderId="0" xfId="0" applyFont="1" applyFill="1" applyBorder="1" applyAlignment="1"/>
    <xf numFmtId="0" fontId="4" fillId="7" borderId="0" xfId="0" applyFont="1" applyFill="1" applyBorder="1" applyAlignment="1"/>
    <xf numFmtId="0" fontId="0" fillId="5" borderId="0" xfId="0" applyNumberFormat="1" applyFill="1"/>
    <xf numFmtId="0" fontId="0" fillId="8" borderId="0" xfId="0" applyFill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14</xdr:col>
      <xdr:colOff>304800</xdr:colOff>
      <xdr:row>11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6EF2B8-4020-2DAC-E5E9-14F82DFBC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72075" y="552450"/>
          <a:ext cx="4572000" cy="1962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5204D-04D8-4487-9464-72F06416F9F5}">
  <dimension ref="A1:P39"/>
  <sheetViews>
    <sheetView zoomScale="129" workbookViewId="0">
      <pane ySplit="1" topLeftCell="A8" activePane="bottomLeft" state="frozen"/>
      <selection pane="bottomLeft" activeCell="P21" sqref="P21"/>
    </sheetView>
  </sheetViews>
  <sheetFormatPr defaultRowHeight="15" customHeight="1"/>
  <cols>
    <col min="1" max="1" width="16.42578125" style="1" customWidth="1"/>
    <col min="2" max="2" width="9.42578125" style="2" customWidth="1"/>
    <col min="3" max="7" width="8.85546875" style="2" bestFit="1" customWidth="1"/>
    <col min="11" max="11" width="10.28515625" customWidth="1"/>
    <col min="15" max="16" width="9.28515625" bestFit="1" customWidth="1"/>
  </cols>
  <sheetData>
    <row r="1" spans="1:16" ht="43.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23" t="s">
        <v>7</v>
      </c>
      <c r="I1" s="23" t="s">
        <v>8</v>
      </c>
      <c r="J1" s="35" t="s">
        <v>9</v>
      </c>
      <c r="K1" s="23" t="s">
        <v>10</v>
      </c>
      <c r="L1" s="27" t="s">
        <v>11</v>
      </c>
      <c r="M1" s="30" t="s">
        <v>12</v>
      </c>
      <c r="N1" s="30" t="s">
        <v>13</v>
      </c>
      <c r="O1" s="34" t="s">
        <v>14</v>
      </c>
      <c r="P1" s="34" t="s">
        <v>15</v>
      </c>
    </row>
    <row r="2" spans="1:16">
      <c r="A2" s="6" t="s">
        <v>16</v>
      </c>
      <c r="B2" s="7">
        <v>15.1</v>
      </c>
      <c r="C2" s="8">
        <v>1.6087</v>
      </c>
      <c r="D2" s="8">
        <v>6.0986000000000002</v>
      </c>
      <c r="E2" s="8">
        <v>4.9939</v>
      </c>
      <c r="F2" s="8">
        <v>-2.9</v>
      </c>
      <c r="G2" s="8">
        <v>24.2</v>
      </c>
      <c r="H2">
        <f>E2-C2</f>
        <v>3.3852000000000002</v>
      </c>
      <c r="I2">
        <f>D2-E2</f>
        <v>1.1047000000000002</v>
      </c>
      <c r="J2">
        <f>F2*102.1788</f>
        <v>-296.31851999999998</v>
      </c>
      <c r="K2">
        <f>G2*102.1788</f>
        <v>2472.72696</v>
      </c>
      <c r="L2" s="29">
        <v>1000</v>
      </c>
      <c r="M2" s="31">
        <v>-6.0000000000000006E-20</v>
      </c>
      <c r="N2" s="29">
        <v>9.8000000000000007</v>
      </c>
      <c r="O2" s="25">
        <f>((K2/((M2/(6*PI()*L2*J2*N2))^(1/3)))/L2)</f>
        <v>2398212958.7918634</v>
      </c>
      <c r="P2" s="36">
        <f>O2/1000</f>
        <v>2398212.9587918636</v>
      </c>
    </row>
    <row r="3" spans="1:16">
      <c r="A3" s="9" t="s">
        <v>17</v>
      </c>
      <c r="B3" s="3">
        <v>11.1</v>
      </c>
      <c r="C3" s="5">
        <v>1.599</v>
      </c>
      <c r="D3" s="5">
        <v>5.1340000000000003</v>
      </c>
      <c r="E3" s="5">
        <v>4.5308999999999999</v>
      </c>
      <c r="F3" s="5">
        <v>-9.3000000000000007</v>
      </c>
      <c r="G3" s="5">
        <v>24.2</v>
      </c>
      <c r="H3">
        <f t="shared" ref="H3:H37" si="0">E3-C3</f>
        <v>2.9318999999999997</v>
      </c>
      <c r="I3">
        <f t="shared" ref="I3:I37" si="1">D3-E3</f>
        <v>0.60310000000000041</v>
      </c>
      <c r="J3">
        <f t="shared" ref="J3:J37" si="2">F3*102.1788</f>
        <v>-950.26283999999998</v>
      </c>
      <c r="K3">
        <f t="shared" ref="K3:K37" si="3">I3/H3</f>
        <v>0.20570278658890156</v>
      </c>
      <c r="L3" s="32">
        <v>1000</v>
      </c>
      <c r="M3" s="33">
        <v>-6.0000000000000006E-20</v>
      </c>
      <c r="N3" s="32">
        <v>9.8000000000000007</v>
      </c>
      <c r="O3" s="25">
        <f t="shared" ref="O3:O37" si="4">((K3/((M3/(6*PI()*L3*J3*N3))^(1/3)))/L3)</f>
        <v>294202.75817107118</v>
      </c>
      <c r="P3" s="26">
        <f t="shared" ref="P3:P37" si="5">O3/1000</f>
        <v>294.2027581710712</v>
      </c>
    </row>
    <row r="4" spans="1:16">
      <c r="A4" s="9" t="s">
        <v>18</v>
      </c>
      <c r="B4" s="3">
        <v>16.100000000000001</v>
      </c>
      <c r="C4" s="5">
        <v>1.5629999999999999</v>
      </c>
      <c r="D4" s="5">
        <v>5.6750999999999996</v>
      </c>
      <c r="E4" s="5">
        <v>4.8422000000000001</v>
      </c>
      <c r="F4" s="5">
        <v>-8</v>
      </c>
      <c r="G4" s="5">
        <v>24.2</v>
      </c>
      <c r="H4">
        <f t="shared" si="0"/>
        <v>3.2792000000000003</v>
      </c>
      <c r="I4">
        <f t="shared" si="1"/>
        <v>0.83289999999999953</v>
      </c>
      <c r="J4">
        <f t="shared" si="2"/>
        <v>-817.43039999999996</v>
      </c>
      <c r="K4">
        <f t="shared" si="3"/>
        <v>0.25399487679921917</v>
      </c>
      <c r="L4" s="32">
        <v>1000</v>
      </c>
      <c r="M4" s="33">
        <v>-6.0000000000000006E-20</v>
      </c>
      <c r="N4" s="32">
        <v>9.8000000000000007</v>
      </c>
      <c r="O4" s="25">
        <f t="shared" si="4"/>
        <v>345488.71634529735</v>
      </c>
      <c r="P4" s="26">
        <f t="shared" si="5"/>
        <v>345.48871634529735</v>
      </c>
    </row>
    <row r="5" spans="1:16">
      <c r="A5" s="9" t="s">
        <v>19</v>
      </c>
      <c r="B5" s="3">
        <v>29.1</v>
      </c>
      <c r="C5" s="5">
        <v>1.6387</v>
      </c>
      <c r="D5" s="5">
        <v>7.1020000000000003</v>
      </c>
      <c r="E5" s="5">
        <v>5.9291999999999998</v>
      </c>
      <c r="F5" s="5">
        <v>-0.02</v>
      </c>
      <c r="G5" s="5">
        <v>24.4</v>
      </c>
      <c r="H5">
        <f t="shared" si="0"/>
        <v>4.2904999999999998</v>
      </c>
      <c r="I5">
        <f t="shared" si="1"/>
        <v>1.1728000000000005</v>
      </c>
      <c r="J5">
        <f t="shared" si="2"/>
        <v>-2.0435759999999998</v>
      </c>
      <c r="K5">
        <f t="shared" si="3"/>
        <v>0.27334809462766591</v>
      </c>
      <c r="L5" s="32">
        <v>1000</v>
      </c>
      <c r="M5" s="33">
        <v>-6.0000000000000006E-20</v>
      </c>
      <c r="N5" s="32">
        <v>9.8000000000000007</v>
      </c>
      <c r="O5" s="25">
        <f t="shared" si="4"/>
        <v>50462.833390673011</v>
      </c>
      <c r="P5" s="26">
        <f t="shared" si="5"/>
        <v>50.462833390673012</v>
      </c>
    </row>
    <row r="6" spans="1:16">
      <c r="A6" s="9" t="s">
        <v>20</v>
      </c>
      <c r="B6" s="3">
        <v>13.1</v>
      </c>
      <c r="C6" s="5">
        <v>1.5965</v>
      </c>
      <c r="D6" s="5">
        <v>7.4230999999999998</v>
      </c>
      <c r="E6" s="5">
        <v>6.3785999999999996</v>
      </c>
      <c r="F6" s="5">
        <v>-4.99</v>
      </c>
      <c r="G6" s="5">
        <v>24.4</v>
      </c>
      <c r="H6">
        <f t="shared" si="0"/>
        <v>4.7820999999999998</v>
      </c>
      <c r="I6">
        <f t="shared" si="1"/>
        <v>1.0445000000000002</v>
      </c>
      <c r="J6">
        <f t="shared" si="2"/>
        <v>-509.87221199999999</v>
      </c>
      <c r="K6">
        <f t="shared" si="3"/>
        <v>0.21841868635118467</v>
      </c>
      <c r="L6" s="32">
        <v>1000</v>
      </c>
      <c r="M6" s="33">
        <v>-6.0000000000000006E-20</v>
      </c>
      <c r="N6" s="32">
        <v>9.8000000000000007</v>
      </c>
      <c r="O6" s="25">
        <f t="shared" si="4"/>
        <v>253845.1605029749</v>
      </c>
      <c r="P6" s="26">
        <f t="shared" si="5"/>
        <v>253.84516050297489</v>
      </c>
    </row>
    <row r="7" spans="1:16">
      <c r="A7" s="10" t="s">
        <v>21</v>
      </c>
      <c r="B7" s="11">
        <v>12.1</v>
      </c>
      <c r="C7" s="12">
        <v>1.5938000000000001</v>
      </c>
      <c r="D7" s="12">
        <v>6.9744000000000002</v>
      </c>
      <c r="E7" s="12">
        <v>6.0170000000000003</v>
      </c>
      <c r="F7" s="12">
        <v>-4.9400000000000004</v>
      </c>
      <c r="G7" s="12">
        <v>24.1</v>
      </c>
      <c r="H7">
        <f t="shared" si="0"/>
        <v>4.4232000000000005</v>
      </c>
      <c r="I7">
        <f t="shared" si="1"/>
        <v>0.95739999999999981</v>
      </c>
      <c r="J7">
        <f t="shared" si="2"/>
        <v>-504.76327200000003</v>
      </c>
      <c r="K7">
        <f t="shared" si="3"/>
        <v>0.21644962922770838</v>
      </c>
      <c r="L7" s="32">
        <v>1000</v>
      </c>
      <c r="M7" s="33">
        <v>-6.0000000000000006E-20</v>
      </c>
      <c r="N7" s="32">
        <v>9.8000000000000007</v>
      </c>
      <c r="O7" s="25">
        <f t="shared" si="4"/>
        <v>250713.70680050543</v>
      </c>
      <c r="P7" s="26">
        <f t="shared" si="5"/>
        <v>250.71370680050543</v>
      </c>
    </row>
    <row r="8" spans="1:16">
      <c r="A8" s="9" t="s">
        <v>22</v>
      </c>
      <c r="B8" s="3">
        <v>13</v>
      </c>
      <c r="C8" s="5">
        <v>23.501000000000001</v>
      </c>
      <c r="D8" s="5">
        <v>26.623000000000001</v>
      </c>
      <c r="E8" s="5">
        <v>26.035399999999999</v>
      </c>
      <c r="F8" s="5">
        <v>-4.58</v>
      </c>
      <c r="G8" s="5">
        <v>24.9</v>
      </c>
      <c r="H8">
        <f t="shared" si="0"/>
        <v>2.534399999999998</v>
      </c>
      <c r="I8">
        <f t="shared" si="1"/>
        <v>0.5876000000000019</v>
      </c>
      <c r="J8">
        <f t="shared" si="2"/>
        <v>-467.978904</v>
      </c>
      <c r="K8">
        <f t="shared" si="3"/>
        <v>0.2318497474747484</v>
      </c>
      <c r="L8" s="29">
        <v>1000</v>
      </c>
      <c r="M8" s="31">
        <v>-6.0000000000000006E-20</v>
      </c>
      <c r="N8" s="29">
        <v>9.8000000000000007</v>
      </c>
      <c r="O8" s="25">
        <f t="shared" si="4"/>
        <v>261862.93748468673</v>
      </c>
      <c r="P8" s="26">
        <f t="shared" si="5"/>
        <v>261.86293748468671</v>
      </c>
    </row>
    <row r="9" spans="1:16">
      <c r="A9" s="9" t="s">
        <v>23</v>
      </c>
      <c r="B9" s="3">
        <v>17</v>
      </c>
      <c r="C9" s="5">
        <v>23.4954</v>
      </c>
      <c r="D9" s="5">
        <v>25.7804</v>
      </c>
      <c r="E9" s="5">
        <v>25.39</v>
      </c>
      <c r="F9" s="5">
        <v>-4.9800000000000004</v>
      </c>
      <c r="G9" s="5">
        <v>24.9</v>
      </c>
      <c r="H9">
        <f t="shared" si="0"/>
        <v>1.8946000000000005</v>
      </c>
      <c r="I9">
        <f t="shared" si="1"/>
        <v>0.39039999999999964</v>
      </c>
      <c r="J9">
        <f t="shared" si="2"/>
        <v>-508.85042400000003</v>
      </c>
      <c r="K9">
        <f t="shared" si="3"/>
        <v>0.20605932650691414</v>
      </c>
      <c r="L9" s="32">
        <v>1000</v>
      </c>
      <c r="M9" s="33">
        <v>-6.0000000000000006E-20</v>
      </c>
      <c r="N9" s="32">
        <v>9.8000000000000007</v>
      </c>
      <c r="O9" s="25">
        <f t="shared" si="4"/>
        <v>239321.09011403396</v>
      </c>
      <c r="P9" s="26">
        <f t="shared" si="5"/>
        <v>239.32109011403395</v>
      </c>
    </row>
    <row r="10" spans="1:16">
      <c r="A10" s="9" t="s">
        <v>24</v>
      </c>
      <c r="B10" s="3">
        <v>4</v>
      </c>
      <c r="C10" s="5">
        <v>1.6394</v>
      </c>
      <c r="D10" s="5">
        <v>4.3826999999999998</v>
      </c>
      <c r="E10" s="5">
        <v>3.8672</v>
      </c>
      <c r="F10" s="5">
        <v>-5.08</v>
      </c>
      <c r="G10" s="5">
        <v>24.8</v>
      </c>
      <c r="H10">
        <f t="shared" si="0"/>
        <v>2.2278000000000002</v>
      </c>
      <c r="I10">
        <f t="shared" si="1"/>
        <v>0.51549999999999985</v>
      </c>
      <c r="J10">
        <f t="shared" si="2"/>
        <v>-519.06830400000001</v>
      </c>
      <c r="K10">
        <f t="shared" si="3"/>
        <v>0.23139420055660284</v>
      </c>
      <c r="L10" s="32">
        <v>1000</v>
      </c>
      <c r="M10" s="33">
        <v>-6.0000000000000006E-20</v>
      </c>
      <c r="N10" s="32">
        <v>9.8000000000000007</v>
      </c>
      <c r="O10" s="25">
        <f t="shared" si="4"/>
        <v>270532.4026304828</v>
      </c>
      <c r="P10" s="26">
        <f t="shared" si="5"/>
        <v>270.53240263048281</v>
      </c>
    </row>
    <row r="11" spans="1:16">
      <c r="A11" s="9" t="s">
        <v>25</v>
      </c>
      <c r="B11" s="3">
        <v>30</v>
      </c>
      <c r="C11" s="5">
        <v>1.6412</v>
      </c>
      <c r="D11" s="5">
        <v>7.9787999999999997</v>
      </c>
      <c r="E11" s="5">
        <v>6.9504999999999999</v>
      </c>
      <c r="F11" s="5">
        <v>-3.73</v>
      </c>
      <c r="G11" s="5">
        <v>24.8</v>
      </c>
      <c r="H11">
        <f t="shared" si="0"/>
        <v>5.3093000000000004</v>
      </c>
      <c r="I11">
        <f t="shared" si="1"/>
        <v>1.0282999999999998</v>
      </c>
      <c r="J11">
        <f t="shared" si="2"/>
        <v>-381.12692399999997</v>
      </c>
      <c r="K11">
        <f t="shared" si="3"/>
        <v>0.19367901606614801</v>
      </c>
      <c r="L11" s="32">
        <v>1000</v>
      </c>
      <c r="M11" s="33">
        <v>-6.0000000000000006E-20</v>
      </c>
      <c r="N11" s="32">
        <v>9.8000000000000007</v>
      </c>
      <c r="O11" s="25">
        <f t="shared" si="4"/>
        <v>204282.46805499893</v>
      </c>
      <c r="P11" s="26">
        <f t="shared" si="5"/>
        <v>204.28246805499893</v>
      </c>
    </row>
    <row r="12" spans="1:16">
      <c r="A12" s="9" t="s">
        <v>26</v>
      </c>
      <c r="B12" s="3">
        <v>20.100000000000001</v>
      </c>
      <c r="C12" s="5">
        <v>1.629</v>
      </c>
      <c r="D12" s="5">
        <v>8.0606000000000009</v>
      </c>
      <c r="E12" s="5">
        <v>7.5681000000000003</v>
      </c>
      <c r="F12" s="5">
        <v>-5.57</v>
      </c>
      <c r="G12" s="5">
        <v>24.8</v>
      </c>
      <c r="H12">
        <f t="shared" si="0"/>
        <v>5.9390999999999998</v>
      </c>
      <c r="I12">
        <f t="shared" si="1"/>
        <v>0.4925000000000006</v>
      </c>
      <c r="J12">
        <f t="shared" si="2"/>
        <v>-569.13591599999995</v>
      </c>
      <c r="K12">
        <f t="shared" si="3"/>
        <v>8.2925022309777677E-2</v>
      </c>
      <c r="L12" s="32">
        <v>1000</v>
      </c>
      <c r="M12" s="33">
        <v>-6.0000000000000006E-20</v>
      </c>
      <c r="N12" s="32">
        <v>9.8000000000000007</v>
      </c>
      <c r="O12" s="25">
        <f t="shared" si="4"/>
        <v>99973.042866861608</v>
      </c>
      <c r="P12" s="26">
        <f t="shared" si="5"/>
        <v>99.973042866861604</v>
      </c>
    </row>
    <row r="13" spans="1:16">
      <c r="A13" s="10" t="s">
        <v>27</v>
      </c>
      <c r="B13" s="11">
        <v>18</v>
      </c>
      <c r="C13" s="12">
        <v>1.6226</v>
      </c>
      <c r="D13" s="12">
        <v>6.0671999999999997</v>
      </c>
      <c r="E13" s="12">
        <v>5.1825000000000001</v>
      </c>
      <c r="F13" s="12">
        <v>-2.3199999999999998</v>
      </c>
      <c r="G13" s="12">
        <v>24.6</v>
      </c>
      <c r="H13">
        <f t="shared" si="0"/>
        <v>3.5598999999999998</v>
      </c>
      <c r="I13">
        <f t="shared" si="1"/>
        <v>0.8846999999999996</v>
      </c>
      <c r="J13">
        <f t="shared" si="2"/>
        <v>-237.05481599999996</v>
      </c>
      <c r="K13">
        <f t="shared" si="3"/>
        <v>0.2485182168038427</v>
      </c>
      <c r="L13" s="32">
        <v>1000</v>
      </c>
      <c r="M13" s="33">
        <v>-6.0000000000000006E-20</v>
      </c>
      <c r="N13" s="32">
        <v>9.8000000000000007</v>
      </c>
      <c r="O13" s="25">
        <f t="shared" si="4"/>
        <v>223751.76638928364</v>
      </c>
      <c r="P13" s="26">
        <f t="shared" si="5"/>
        <v>223.75176638928363</v>
      </c>
    </row>
    <row r="14" spans="1:16">
      <c r="A14" s="9" t="s">
        <v>28</v>
      </c>
      <c r="B14" s="3">
        <v>22</v>
      </c>
      <c r="C14" s="5">
        <v>24.5749</v>
      </c>
      <c r="D14" s="5">
        <v>28.104299999999999</v>
      </c>
      <c r="E14" s="5">
        <v>27.5244</v>
      </c>
      <c r="F14" s="5">
        <v>-2.5099999999999998</v>
      </c>
      <c r="G14" s="5">
        <v>24.9</v>
      </c>
      <c r="H14">
        <f t="shared" si="0"/>
        <v>2.9495000000000005</v>
      </c>
      <c r="I14">
        <f t="shared" si="1"/>
        <v>0.57989999999999853</v>
      </c>
      <c r="J14">
        <f t="shared" si="2"/>
        <v>-256.46878799999996</v>
      </c>
      <c r="K14">
        <f t="shared" si="3"/>
        <v>0.19660959484658364</v>
      </c>
      <c r="L14" s="29">
        <v>1000</v>
      </c>
      <c r="M14" s="31">
        <v>-6.0000000000000006E-20</v>
      </c>
      <c r="N14" s="29">
        <v>9.8000000000000007</v>
      </c>
      <c r="O14" s="25">
        <f t="shared" si="4"/>
        <v>181722.2885437856</v>
      </c>
      <c r="P14" s="26">
        <f t="shared" si="5"/>
        <v>181.7222885437856</v>
      </c>
    </row>
    <row r="15" spans="1:16">
      <c r="A15" s="9" t="s">
        <v>29</v>
      </c>
      <c r="B15" s="3">
        <v>20</v>
      </c>
      <c r="C15" s="5">
        <v>22.686499999999999</v>
      </c>
      <c r="D15" s="5">
        <v>27.4938</v>
      </c>
      <c r="E15" s="5">
        <v>26.395700000000001</v>
      </c>
      <c r="F15" s="5">
        <v>-0.79</v>
      </c>
      <c r="G15" s="5">
        <v>24.9</v>
      </c>
      <c r="H15">
        <f t="shared" si="0"/>
        <v>3.7092000000000027</v>
      </c>
      <c r="I15">
        <f t="shared" si="1"/>
        <v>1.0980999999999987</v>
      </c>
      <c r="J15">
        <f t="shared" si="2"/>
        <v>-80.721252000000007</v>
      </c>
      <c r="K15">
        <f t="shared" si="3"/>
        <v>0.29604766526474657</v>
      </c>
      <c r="L15" s="32">
        <v>1000</v>
      </c>
      <c r="M15" s="33">
        <v>-6.0000000000000006E-20</v>
      </c>
      <c r="N15" s="32">
        <v>9.8000000000000007</v>
      </c>
      <c r="O15" s="25">
        <f t="shared" si="4"/>
        <v>186129.94670041782</v>
      </c>
      <c r="P15" s="26">
        <f t="shared" si="5"/>
        <v>186.1299467004178</v>
      </c>
    </row>
    <row r="16" spans="1:16">
      <c r="A16" s="9" t="s">
        <v>30</v>
      </c>
      <c r="B16" s="3">
        <v>27</v>
      </c>
      <c r="C16" s="5">
        <v>24.6021</v>
      </c>
      <c r="D16" s="5">
        <v>28.242899999999999</v>
      </c>
      <c r="E16" s="5">
        <v>27.4115</v>
      </c>
      <c r="F16" s="5">
        <v>-1</v>
      </c>
      <c r="G16" s="5">
        <v>24.9</v>
      </c>
      <c r="H16">
        <f t="shared" si="0"/>
        <v>2.8094000000000001</v>
      </c>
      <c r="I16">
        <f t="shared" si="1"/>
        <v>0.83139999999999858</v>
      </c>
      <c r="J16">
        <f t="shared" si="2"/>
        <v>-102.1788</v>
      </c>
      <c r="K16">
        <f t="shared" si="3"/>
        <v>0.29593507510500411</v>
      </c>
      <c r="L16" s="32">
        <v>1000</v>
      </c>
      <c r="M16" s="33">
        <v>-6.0000000000000006E-20</v>
      </c>
      <c r="N16" s="32">
        <v>9.8000000000000007</v>
      </c>
      <c r="O16" s="25">
        <f t="shared" si="4"/>
        <v>201268.29034508209</v>
      </c>
      <c r="P16" s="26">
        <f t="shared" si="5"/>
        <v>201.26829034508208</v>
      </c>
    </row>
    <row r="17" spans="1:16">
      <c r="A17" s="9" t="s">
        <v>31</v>
      </c>
      <c r="B17" s="3">
        <v>10</v>
      </c>
      <c r="C17" s="5">
        <v>24.603899999999999</v>
      </c>
      <c r="D17" s="5">
        <v>29.446999999999999</v>
      </c>
      <c r="E17" s="5">
        <v>28.731999999999999</v>
      </c>
      <c r="F17" s="5">
        <v>-2.33</v>
      </c>
      <c r="G17" s="5">
        <v>24.9</v>
      </c>
      <c r="H17">
        <f t="shared" si="0"/>
        <v>4.1280999999999999</v>
      </c>
      <c r="I17">
        <f t="shared" si="1"/>
        <v>0.71499999999999986</v>
      </c>
      <c r="J17">
        <f t="shared" si="2"/>
        <v>-238.076604</v>
      </c>
      <c r="K17">
        <f t="shared" si="3"/>
        <v>0.17320316852789416</v>
      </c>
      <c r="L17" s="32">
        <v>1000</v>
      </c>
      <c r="M17" s="33">
        <v>-6.0000000000000006E-20</v>
      </c>
      <c r="N17" s="32">
        <v>9.8000000000000007</v>
      </c>
      <c r="O17" s="25">
        <f t="shared" si="4"/>
        <v>156166.08458016664</v>
      </c>
      <c r="P17" s="26">
        <f t="shared" si="5"/>
        <v>156.16608458016665</v>
      </c>
    </row>
    <row r="18" spans="1:16">
      <c r="A18" s="9" t="s">
        <v>32</v>
      </c>
      <c r="B18" s="3">
        <v>19</v>
      </c>
      <c r="C18" s="5">
        <v>24.7379</v>
      </c>
      <c r="D18" s="5">
        <v>28.864100000000001</v>
      </c>
      <c r="E18" s="5">
        <v>28.251799999999999</v>
      </c>
      <c r="F18" s="5">
        <v>-1.39</v>
      </c>
      <c r="G18" s="5">
        <v>24.9</v>
      </c>
      <c r="H18">
        <f t="shared" si="0"/>
        <v>3.5138999999999996</v>
      </c>
      <c r="I18">
        <f t="shared" si="1"/>
        <v>0.61230000000000118</v>
      </c>
      <c r="J18">
        <f t="shared" si="2"/>
        <v>-142.02853199999998</v>
      </c>
      <c r="K18">
        <f t="shared" si="3"/>
        <v>0.17425083240843542</v>
      </c>
      <c r="L18" s="32">
        <v>1000</v>
      </c>
      <c r="M18" s="33">
        <v>-6.0000000000000006E-20</v>
      </c>
      <c r="N18" s="32">
        <v>9.8000000000000007</v>
      </c>
      <c r="O18" s="25">
        <f t="shared" si="4"/>
        <v>132259.04332154148</v>
      </c>
      <c r="P18" s="26">
        <f t="shared" si="5"/>
        <v>132.25904332154147</v>
      </c>
    </row>
    <row r="19" spans="1:16">
      <c r="A19" s="10" t="s">
        <v>33</v>
      </c>
      <c r="B19" s="11">
        <v>25</v>
      </c>
      <c r="C19" s="12">
        <v>25.029800000000002</v>
      </c>
      <c r="D19" s="12">
        <v>29.316099999999999</v>
      </c>
      <c r="E19" s="12">
        <v>28.677299999999999</v>
      </c>
      <c r="F19" s="12">
        <v>-1.42</v>
      </c>
      <c r="G19" s="12">
        <v>24.9</v>
      </c>
      <c r="H19">
        <f t="shared" si="0"/>
        <v>3.6474999999999973</v>
      </c>
      <c r="I19">
        <f t="shared" si="1"/>
        <v>0.63879999999999981</v>
      </c>
      <c r="J19">
        <f t="shared" si="2"/>
        <v>-145.09389599999997</v>
      </c>
      <c r="K19">
        <f t="shared" si="3"/>
        <v>0.17513365318711455</v>
      </c>
      <c r="L19" s="32">
        <v>1000</v>
      </c>
      <c r="M19" s="33">
        <v>-6.0000000000000006E-20</v>
      </c>
      <c r="N19" s="32">
        <v>9.8000000000000007</v>
      </c>
      <c r="O19" s="25">
        <f t="shared" si="4"/>
        <v>133878.64365806658</v>
      </c>
      <c r="P19" s="26">
        <f t="shared" si="5"/>
        <v>133.87864365806658</v>
      </c>
    </row>
    <row r="20" spans="1:16">
      <c r="A20" s="13" t="s">
        <v>34</v>
      </c>
      <c r="B20" s="3">
        <v>24</v>
      </c>
      <c r="C20" s="5">
        <v>24.631900000000002</v>
      </c>
      <c r="D20" s="5">
        <v>28.3795</v>
      </c>
      <c r="E20" s="5">
        <v>27.5321</v>
      </c>
      <c r="F20" s="5">
        <v>-0.28999999999999998</v>
      </c>
      <c r="G20" s="5">
        <v>24.9</v>
      </c>
      <c r="H20">
        <f t="shared" si="0"/>
        <v>2.9001999999999981</v>
      </c>
      <c r="I20">
        <f t="shared" si="1"/>
        <v>0.84740000000000038</v>
      </c>
      <c r="J20">
        <f t="shared" si="2"/>
        <v>-29.631851999999995</v>
      </c>
      <c r="K20">
        <f t="shared" si="3"/>
        <v>0.2921867457416733</v>
      </c>
      <c r="L20" s="29">
        <v>1000</v>
      </c>
      <c r="M20" s="31">
        <v>-6.0000000000000006E-20</v>
      </c>
      <c r="N20" s="29">
        <v>9.8000000000000007</v>
      </c>
      <c r="O20" s="25">
        <f t="shared" si="4"/>
        <v>131534.22174849777</v>
      </c>
      <c r="P20" s="26">
        <f t="shared" si="5"/>
        <v>131.53422174849777</v>
      </c>
    </row>
    <row r="21" spans="1:16">
      <c r="A21" s="13" t="s">
        <v>35</v>
      </c>
      <c r="B21" s="3">
        <v>12</v>
      </c>
      <c r="C21" s="5">
        <v>24.570599999999999</v>
      </c>
      <c r="D21" s="5">
        <v>28.113</v>
      </c>
      <c r="E21" s="5">
        <v>27.67</v>
      </c>
      <c r="F21" s="5">
        <v>-0.32</v>
      </c>
      <c r="G21" s="5">
        <v>24.9</v>
      </c>
      <c r="H21">
        <f>E21-C21</f>
        <v>3.0994000000000028</v>
      </c>
      <c r="I21">
        <f t="shared" si="1"/>
        <v>0.44299999999999784</v>
      </c>
      <c r="J21">
        <f t="shared" si="2"/>
        <v>-32.697215999999997</v>
      </c>
      <c r="K21">
        <f t="shared" si="3"/>
        <v>0.1429308898496475</v>
      </c>
      <c r="L21" s="32">
        <v>1000</v>
      </c>
      <c r="M21" s="33">
        <v>-6.0000000000000006E-20</v>
      </c>
      <c r="N21" s="32">
        <v>9.8000000000000007</v>
      </c>
      <c r="O21" s="25">
        <f t="shared" si="4"/>
        <v>66489.796806712169</v>
      </c>
      <c r="P21" s="26">
        <f t="shared" si="5"/>
        <v>66.489796806712164</v>
      </c>
    </row>
    <row r="22" spans="1:16">
      <c r="A22" s="13" t="s">
        <v>36</v>
      </c>
      <c r="B22" s="3">
        <v>26</v>
      </c>
      <c r="C22" s="5">
        <v>24.719100000000001</v>
      </c>
      <c r="D22" s="5">
        <v>28.466000000000001</v>
      </c>
      <c r="E22" s="5">
        <v>27.608599999999999</v>
      </c>
      <c r="F22" s="5">
        <v>-0.22</v>
      </c>
      <c r="G22" s="5">
        <v>24.9</v>
      </c>
      <c r="H22">
        <f t="shared" si="0"/>
        <v>2.8894999999999982</v>
      </c>
      <c r="I22">
        <f t="shared" si="1"/>
        <v>0.85740000000000194</v>
      </c>
      <c r="J22">
        <f t="shared" si="2"/>
        <v>-22.479336</v>
      </c>
      <c r="K22">
        <f t="shared" si="3"/>
        <v>0.29672953798235074</v>
      </c>
      <c r="L22" s="32">
        <v>1000</v>
      </c>
      <c r="M22" s="33">
        <v>-6.0000000000000006E-20</v>
      </c>
      <c r="N22" s="32">
        <v>9.8000000000000007</v>
      </c>
      <c r="O22" s="25">
        <f t="shared" si="4"/>
        <v>121828.03968327452</v>
      </c>
      <c r="P22" s="26">
        <f t="shared" si="5"/>
        <v>121.82803968327451</v>
      </c>
    </row>
    <row r="23" spans="1:16">
      <c r="A23" s="13" t="s">
        <v>37</v>
      </c>
      <c r="B23" s="3">
        <v>2</v>
      </c>
      <c r="C23" s="5">
        <v>24.427900000000001</v>
      </c>
      <c r="D23" s="5">
        <v>27.421600000000002</v>
      </c>
      <c r="E23" s="5">
        <v>27.095800000000001</v>
      </c>
      <c r="F23" s="5">
        <v>-2.2000000000000002</v>
      </c>
      <c r="G23" s="5">
        <v>24.9</v>
      </c>
      <c r="H23">
        <f t="shared" si="0"/>
        <v>2.6678999999999995</v>
      </c>
      <c r="I23">
        <f t="shared" si="1"/>
        <v>0.32580000000000098</v>
      </c>
      <c r="J23">
        <f t="shared" si="2"/>
        <v>-224.79336000000001</v>
      </c>
      <c r="K23">
        <f t="shared" si="3"/>
        <v>0.1221185201844151</v>
      </c>
      <c r="L23" s="32">
        <v>1000</v>
      </c>
      <c r="M23" s="33">
        <v>-6.0000000000000006E-20</v>
      </c>
      <c r="N23" s="32">
        <v>9.8000000000000007</v>
      </c>
      <c r="O23" s="25">
        <f t="shared" si="4"/>
        <v>108019.29587397509</v>
      </c>
      <c r="P23" s="26">
        <f t="shared" si="5"/>
        <v>108.0192958739751</v>
      </c>
    </row>
    <row r="24" spans="1:16">
      <c r="A24" s="13" t="s">
        <v>38</v>
      </c>
      <c r="B24" s="3">
        <v>13</v>
      </c>
      <c r="C24" s="5">
        <v>23.503</v>
      </c>
      <c r="D24" s="5">
        <v>27.473800000000001</v>
      </c>
      <c r="E24" s="5">
        <v>26.8855</v>
      </c>
      <c r="F24" s="5">
        <v>-0.36</v>
      </c>
      <c r="G24" s="5">
        <v>24.9</v>
      </c>
      <c r="H24">
        <f t="shared" si="0"/>
        <v>3.3825000000000003</v>
      </c>
      <c r="I24">
        <f t="shared" si="1"/>
        <v>0.58830000000000027</v>
      </c>
      <c r="J24">
        <f t="shared" si="2"/>
        <v>-36.784367999999994</v>
      </c>
      <c r="K24">
        <f t="shared" si="3"/>
        <v>0.17392461197339251</v>
      </c>
      <c r="L24" s="32">
        <v>1000</v>
      </c>
      <c r="M24" s="33">
        <v>-6.0000000000000006E-20</v>
      </c>
      <c r="N24" s="32">
        <v>9.8000000000000007</v>
      </c>
      <c r="O24" s="25">
        <f t="shared" si="4"/>
        <v>84147.417542959301</v>
      </c>
      <c r="P24" s="26">
        <f t="shared" si="5"/>
        <v>84.147417542959303</v>
      </c>
    </row>
    <row r="25" spans="1:16">
      <c r="A25" s="14" t="s">
        <v>39</v>
      </c>
      <c r="B25" s="11">
        <v>19</v>
      </c>
      <c r="C25" s="12">
        <v>24.739000000000001</v>
      </c>
      <c r="D25" s="12">
        <v>28.2959</v>
      </c>
      <c r="E25" s="12">
        <v>27.842500000000001</v>
      </c>
      <c r="F25" s="12">
        <v>-1.35</v>
      </c>
      <c r="G25" s="5">
        <v>24.9</v>
      </c>
      <c r="H25">
        <f t="shared" si="0"/>
        <v>3.1035000000000004</v>
      </c>
      <c r="I25">
        <f t="shared" si="1"/>
        <v>0.45339999999999847</v>
      </c>
      <c r="J25">
        <f t="shared" si="2"/>
        <v>-137.94138000000001</v>
      </c>
      <c r="K25">
        <f t="shared" si="3"/>
        <v>0.14609312067021055</v>
      </c>
      <c r="L25" s="32">
        <v>1000</v>
      </c>
      <c r="M25" s="33">
        <v>-6.0000000000000006E-20</v>
      </c>
      <c r="N25" s="32">
        <v>9.8000000000000007</v>
      </c>
      <c r="O25" s="25">
        <f t="shared" si="4"/>
        <v>109812.87730234845</v>
      </c>
      <c r="P25" s="26">
        <f t="shared" si="5"/>
        <v>109.81287730234845</v>
      </c>
    </row>
    <row r="26" spans="1:16">
      <c r="A26" s="13" t="s">
        <v>40</v>
      </c>
      <c r="B26" s="3">
        <v>10</v>
      </c>
      <c r="C26" s="5">
        <v>24.605599999999999</v>
      </c>
      <c r="D26" s="5">
        <v>27.2879</v>
      </c>
      <c r="E26" s="5">
        <v>26.462599999999998</v>
      </c>
      <c r="F26" s="5">
        <v>-0.23</v>
      </c>
      <c r="G26" s="5">
        <v>24.9</v>
      </c>
      <c r="H26">
        <f t="shared" si="0"/>
        <v>1.8569999999999993</v>
      </c>
      <c r="I26">
        <f t="shared" si="1"/>
        <v>0.82530000000000214</v>
      </c>
      <c r="J26">
        <f t="shared" si="2"/>
        <v>-23.501124000000001</v>
      </c>
      <c r="K26">
        <f t="shared" si="3"/>
        <v>0.44442649434572024</v>
      </c>
      <c r="L26" s="29">
        <v>1000</v>
      </c>
      <c r="M26" s="31">
        <v>-6.0000000000000006E-20</v>
      </c>
      <c r="N26" s="29">
        <v>9.8000000000000007</v>
      </c>
      <c r="O26" s="25">
        <f t="shared" si="4"/>
        <v>185191.67886642943</v>
      </c>
      <c r="P26" s="26">
        <f t="shared" si="5"/>
        <v>185.19167886642944</v>
      </c>
    </row>
    <row r="27" spans="1:16">
      <c r="A27" s="13" t="s">
        <v>41</v>
      </c>
      <c r="B27" s="3">
        <v>29</v>
      </c>
      <c r="C27" s="5">
        <v>24.744199999999999</v>
      </c>
      <c r="D27" s="5">
        <v>27.933299999999999</v>
      </c>
      <c r="E27" s="5">
        <v>27.0825</v>
      </c>
      <c r="F27" s="5">
        <v>-0.33</v>
      </c>
      <c r="G27" s="5">
        <v>24.9</v>
      </c>
      <c r="H27">
        <f t="shared" si="0"/>
        <v>2.3383000000000003</v>
      </c>
      <c r="I27">
        <f t="shared" si="1"/>
        <v>0.85079999999999956</v>
      </c>
      <c r="J27">
        <f t="shared" si="2"/>
        <v>-33.719003999999998</v>
      </c>
      <c r="K27">
        <f t="shared" si="3"/>
        <v>0.36385408202540281</v>
      </c>
      <c r="L27" s="32">
        <v>1000</v>
      </c>
      <c r="M27" s="33">
        <v>-6.0000000000000006E-20</v>
      </c>
      <c r="N27" s="32">
        <v>9.8000000000000007</v>
      </c>
      <c r="O27" s="25">
        <f t="shared" si="4"/>
        <v>171005.78938845778</v>
      </c>
      <c r="P27" s="26">
        <f t="shared" si="5"/>
        <v>171.00578938845777</v>
      </c>
    </row>
    <row r="28" spans="1:16">
      <c r="A28" s="15" t="s">
        <v>42</v>
      </c>
      <c r="B28" s="3">
        <v>14</v>
      </c>
      <c r="C28" s="5">
        <v>23.539300000000001</v>
      </c>
      <c r="D28" s="5">
        <v>26.810600000000001</v>
      </c>
      <c r="E28" s="5">
        <v>25.9556</v>
      </c>
      <c r="F28" s="5">
        <v>-0.81</v>
      </c>
      <c r="G28" s="5">
        <v>24.9</v>
      </c>
      <c r="H28">
        <f t="shared" si="0"/>
        <v>2.4162999999999997</v>
      </c>
      <c r="I28">
        <f t="shared" si="1"/>
        <v>0.85500000000000043</v>
      </c>
      <c r="J28">
        <f t="shared" si="2"/>
        <v>-82.764828000000009</v>
      </c>
      <c r="K28">
        <f t="shared" si="3"/>
        <v>0.3538467905475316</v>
      </c>
      <c r="L28" s="32">
        <v>1000</v>
      </c>
      <c r="M28" s="33">
        <v>-6.0000000000000006E-20</v>
      </c>
      <c r="N28" s="32">
        <v>9.8000000000000007</v>
      </c>
      <c r="O28" s="25">
        <f t="shared" si="4"/>
        <v>224330.94332259908</v>
      </c>
      <c r="P28" s="26">
        <f t="shared" si="5"/>
        <v>224.33094332259907</v>
      </c>
    </row>
    <row r="29" spans="1:16">
      <c r="A29" s="13" t="s">
        <v>43</v>
      </c>
      <c r="B29" s="3">
        <v>21</v>
      </c>
      <c r="C29" s="5">
        <v>24.228000000000002</v>
      </c>
      <c r="D29" s="5">
        <v>27.372900000000001</v>
      </c>
      <c r="E29" s="5">
        <v>26.840900000000001</v>
      </c>
      <c r="F29" s="5">
        <v>-2.5</v>
      </c>
      <c r="G29" s="5">
        <v>24.9</v>
      </c>
      <c r="H29">
        <f t="shared" si="0"/>
        <v>2.6128999999999998</v>
      </c>
      <c r="I29">
        <f t="shared" si="1"/>
        <v>0.53200000000000003</v>
      </c>
      <c r="J29">
        <f t="shared" si="2"/>
        <v>-255.447</v>
      </c>
      <c r="K29">
        <f t="shared" si="3"/>
        <v>0.2036051896360366</v>
      </c>
      <c r="L29" s="32">
        <v>1000</v>
      </c>
      <c r="M29" s="33">
        <v>-6.0000000000000006E-20</v>
      </c>
      <c r="N29" s="32">
        <v>9.8000000000000007</v>
      </c>
      <c r="O29" s="25">
        <f t="shared" si="4"/>
        <v>187937.92537816719</v>
      </c>
      <c r="P29" s="26">
        <f t="shared" si="5"/>
        <v>187.93792537816719</v>
      </c>
    </row>
    <row r="30" spans="1:16">
      <c r="A30" s="13" t="s">
        <v>44</v>
      </c>
      <c r="B30" s="3">
        <v>7</v>
      </c>
      <c r="C30" s="5">
        <v>24.7102</v>
      </c>
      <c r="D30" s="5">
        <v>28.7956</v>
      </c>
      <c r="E30" s="5">
        <v>27.9956</v>
      </c>
      <c r="F30" s="5">
        <v>-1.32</v>
      </c>
      <c r="G30" s="5">
        <v>24.8</v>
      </c>
      <c r="H30">
        <f t="shared" si="0"/>
        <v>3.2853999999999992</v>
      </c>
      <c r="I30">
        <f t="shared" si="1"/>
        <v>0.80000000000000071</v>
      </c>
      <c r="J30">
        <f t="shared" si="2"/>
        <v>-134.87601599999999</v>
      </c>
      <c r="K30">
        <f t="shared" si="3"/>
        <v>0.24350155232239634</v>
      </c>
      <c r="L30" s="32">
        <v>1000</v>
      </c>
      <c r="M30" s="33">
        <v>-6.0000000000000006E-20</v>
      </c>
      <c r="N30" s="32">
        <v>9.8000000000000007</v>
      </c>
      <c r="O30" s="25">
        <f t="shared" si="4"/>
        <v>181665.29149420213</v>
      </c>
      <c r="P30" s="26">
        <f t="shared" si="5"/>
        <v>181.66529149420214</v>
      </c>
    </row>
    <row r="31" spans="1:16">
      <c r="A31" s="14" t="s">
        <v>45</v>
      </c>
      <c r="B31" s="11">
        <v>9</v>
      </c>
      <c r="C31" s="12">
        <v>24.539899999999999</v>
      </c>
      <c r="D31" s="12">
        <v>28.718399999999999</v>
      </c>
      <c r="E31" s="12">
        <v>27.6556</v>
      </c>
      <c r="F31" s="5">
        <v>-0.2</v>
      </c>
      <c r="G31" s="12">
        <v>24.9</v>
      </c>
      <c r="H31">
        <f t="shared" si="0"/>
        <v>3.1157000000000004</v>
      </c>
      <c r="I31">
        <f t="shared" si="1"/>
        <v>1.0627999999999993</v>
      </c>
      <c r="J31">
        <f t="shared" si="2"/>
        <v>-20.435760000000002</v>
      </c>
      <c r="K31">
        <f t="shared" si="3"/>
        <v>0.34111114677279558</v>
      </c>
      <c r="L31" s="32">
        <v>1000</v>
      </c>
      <c r="M31" s="33">
        <v>-6.0000000000000006E-20</v>
      </c>
      <c r="N31" s="32">
        <v>9.8000000000000007</v>
      </c>
      <c r="O31" s="25">
        <f t="shared" si="4"/>
        <v>135670.31253196503</v>
      </c>
      <c r="P31" s="26">
        <f t="shared" si="5"/>
        <v>135.67031253196504</v>
      </c>
    </row>
    <row r="32" spans="1:16">
      <c r="A32" s="13" t="s">
        <v>46</v>
      </c>
      <c r="B32" s="3">
        <v>24</v>
      </c>
      <c r="C32" s="5">
        <v>24.631499999999999</v>
      </c>
      <c r="D32" s="5">
        <v>28.7483</v>
      </c>
      <c r="E32" s="5">
        <v>27.890999999999998</v>
      </c>
      <c r="F32" s="8">
        <v>-1.19</v>
      </c>
      <c r="G32" s="5">
        <v>24.8</v>
      </c>
      <c r="H32">
        <f t="shared" si="0"/>
        <v>3.2594999999999992</v>
      </c>
      <c r="I32">
        <f t="shared" si="1"/>
        <v>0.85730000000000217</v>
      </c>
      <c r="J32">
        <f t="shared" si="2"/>
        <v>-121.59277199999998</v>
      </c>
      <c r="K32">
        <f t="shared" si="3"/>
        <v>0.26301579996932117</v>
      </c>
      <c r="L32" s="29">
        <v>1000</v>
      </c>
      <c r="M32" s="31">
        <v>-6.0000000000000006E-20</v>
      </c>
      <c r="N32" s="29">
        <v>9.8000000000000007</v>
      </c>
      <c r="O32" s="25">
        <f t="shared" si="4"/>
        <v>189558.41744183656</v>
      </c>
      <c r="P32" s="26">
        <f t="shared" si="5"/>
        <v>189.55841744183655</v>
      </c>
    </row>
    <row r="33" spans="1:16">
      <c r="A33" s="13" t="s">
        <v>47</v>
      </c>
      <c r="B33" s="3">
        <v>23</v>
      </c>
      <c r="C33" s="5">
        <v>25.0169</v>
      </c>
      <c r="D33" s="5">
        <v>30.0106</v>
      </c>
      <c r="E33" s="5">
        <v>28.810099999999998</v>
      </c>
      <c r="F33" s="5">
        <v>-0.75</v>
      </c>
      <c r="G33" s="5">
        <v>24.9</v>
      </c>
      <c r="H33">
        <f t="shared" si="0"/>
        <v>3.7931999999999988</v>
      </c>
      <c r="I33">
        <f t="shared" si="1"/>
        <v>1.2005000000000017</v>
      </c>
      <c r="J33">
        <f t="shared" si="2"/>
        <v>-76.634099999999989</v>
      </c>
      <c r="K33">
        <f t="shared" si="3"/>
        <v>0.31648739850258412</v>
      </c>
      <c r="L33" s="32">
        <v>1000</v>
      </c>
      <c r="M33" s="33">
        <v>-6.0000000000000006E-20</v>
      </c>
      <c r="N33" s="32">
        <v>9.8000000000000007</v>
      </c>
      <c r="O33" s="25">
        <f t="shared" si="4"/>
        <v>195564.08142677165</v>
      </c>
      <c r="P33" s="26">
        <f t="shared" si="5"/>
        <v>195.56408142677165</v>
      </c>
    </row>
    <row r="34" spans="1:16">
      <c r="A34" s="13" t="s">
        <v>48</v>
      </c>
      <c r="B34" s="3">
        <v>8</v>
      </c>
      <c r="C34" s="5">
        <v>24.7258</v>
      </c>
      <c r="D34" s="5">
        <v>29.777899999999999</v>
      </c>
      <c r="E34" s="5">
        <v>28.3916</v>
      </c>
      <c r="F34" s="5">
        <v>-0.52</v>
      </c>
      <c r="G34" s="5">
        <v>24.9</v>
      </c>
      <c r="H34">
        <f t="shared" si="0"/>
        <v>3.6658000000000008</v>
      </c>
      <c r="I34">
        <f t="shared" si="1"/>
        <v>1.3862999999999985</v>
      </c>
      <c r="J34">
        <f t="shared" si="2"/>
        <v>-53.132975999999999</v>
      </c>
      <c r="K34">
        <f t="shared" si="3"/>
        <v>0.37817120410278743</v>
      </c>
      <c r="L34" s="32">
        <v>1000</v>
      </c>
      <c r="M34" s="33">
        <v>-6.0000000000000006E-20</v>
      </c>
      <c r="N34" s="32">
        <v>9.8000000000000007</v>
      </c>
      <c r="O34" s="25">
        <f t="shared" si="4"/>
        <v>206824.42218228971</v>
      </c>
      <c r="P34" s="26">
        <f t="shared" si="5"/>
        <v>206.82442218228971</v>
      </c>
    </row>
    <row r="35" spans="1:16">
      <c r="A35" s="13" t="s">
        <v>49</v>
      </c>
      <c r="B35" s="3">
        <v>26</v>
      </c>
      <c r="C35" s="5">
        <v>24.714400000000001</v>
      </c>
      <c r="D35" s="5">
        <v>29.541399999999999</v>
      </c>
      <c r="E35" s="5">
        <v>28.970500000000001</v>
      </c>
      <c r="F35" s="5">
        <v>-3.13</v>
      </c>
      <c r="G35" s="5">
        <v>24.9</v>
      </c>
      <c r="H35">
        <f t="shared" si="0"/>
        <v>4.2561</v>
      </c>
      <c r="I35">
        <f t="shared" si="1"/>
        <v>0.57089999999999819</v>
      </c>
      <c r="J35">
        <f t="shared" si="2"/>
        <v>-319.81964399999998</v>
      </c>
      <c r="K35">
        <f t="shared" si="3"/>
        <v>0.13413688588144032</v>
      </c>
      <c r="L35" s="32">
        <v>1000</v>
      </c>
      <c r="M35" s="33">
        <v>-6.0000000000000006E-20</v>
      </c>
      <c r="N35" s="32">
        <v>9.8000000000000007</v>
      </c>
      <c r="O35" s="25">
        <f t="shared" si="4"/>
        <v>133446.92807425585</v>
      </c>
      <c r="P35" s="26">
        <f t="shared" si="5"/>
        <v>133.44692807425585</v>
      </c>
    </row>
    <row r="36" spans="1:16">
      <c r="A36" s="13" t="s">
        <v>50</v>
      </c>
      <c r="B36" s="3">
        <v>7</v>
      </c>
      <c r="C36" s="5">
        <v>24.7073</v>
      </c>
      <c r="D36" s="5">
        <v>30.8187</v>
      </c>
      <c r="E36" s="5">
        <v>29.383700000000001</v>
      </c>
      <c r="F36" s="5">
        <v>-0.31</v>
      </c>
      <c r="G36" s="5">
        <v>14.8</v>
      </c>
      <c r="H36">
        <f t="shared" si="0"/>
        <v>4.676400000000001</v>
      </c>
      <c r="I36">
        <f t="shared" si="1"/>
        <v>1.4349999999999987</v>
      </c>
      <c r="J36">
        <f t="shared" si="2"/>
        <v>-31.675427999999997</v>
      </c>
      <c r="K36">
        <f t="shared" si="3"/>
        <v>0.30685997776067025</v>
      </c>
      <c r="L36" s="32">
        <v>1000</v>
      </c>
      <c r="M36" s="33">
        <v>-6.0000000000000006E-20</v>
      </c>
      <c r="N36" s="32">
        <v>9.8000000000000007</v>
      </c>
      <c r="O36" s="25">
        <f t="shared" si="4"/>
        <v>141244.99338592382</v>
      </c>
      <c r="P36" s="26">
        <f t="shared" si="5"/>
        <v>141.24499338592383</v>
      </c>
    </row>
    <row r="37" spans="1:16">
      <c r="A37" s="13" t="s">
        <v>51</v>
      </c>
      <c r="B37" s="11">
        <v>21</v>
      </c>
      <c r="C37" s="12">
        <v>24.225200000000001</v>
      </c>
      <c r="D37" s="12">
        <v>28.8886</v>
      </c>
      <c r="E37" s="12">
        <v>27.901199999999999</v>
      </c>
      <c r="F37" s="12">
        <v>-0.47</v>
      </c>
      <c r="G37" s="12">
        <v>24.8</v>
      </c>
      <c r="H37">
        <f t="shared" si="0"/>
        <v>3.6759999999999984</v>
      </c>
      <c r="I37">
        <f t="shared" si="1"/>
        <v>0.98740000000000094</v>
      </c>
      <c r="J37">
        <f t="shared" si="2"/>
        <v>-48.024035999999995</v>
      </c>
      <c r="K37">
        <f t="shared" si="3"/>
        <v>0.26860718171926046</v>
      </c>
      <c r="L37" s="32">
        <v>1000</v>
      </c>
      <c r="M37" s="33">
        <v>-6.0000000000000006E-20</v>
      </c>
      <c r="N37" s="32">
        <v>9.8000000000000007</v>
      </c>
      <c r="O37" s="25">
        <f t="shared" si="4"/>
        <v>142035.14586090297</v>
      </c>
      <c r="P37" s="26">
        <f t="shared" si="5"/>
        <v>142.03514586090296</v>
      </c>
    </row>
    <row r="38" spans="1:16"/>
    <row r="39" spans="1:16"/>
  </sheetData>
  <sortState xmlns:xlrd2="http://schemas.microsoft.com/office/spreadsheetml/2017/richdata2" ref="A2:A37">
    <sortCondition ref="A2:A37"/>
  </sortState>
  <conditionalFormatting sqref="A38:A1048576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6E3F2-C8A1-401F-8482-B6AA3D27F838}">
  <dimension ref="A1:P39"/>
  <sheetViews>
    <sheetView topLeftCell="A19" workbookViewId="0">
      <selection activeCell="P1" sqref="P1:P1048576"/>
    </sheetView>
  </sheetViews>
  <sheetFormatPr defaultRowHeight="15" customHeight="1"/>
  <cols>
    <col min="1" max="1" width="16.42578125" style="1" customWidth="1"/>
    <col min="2" max="2" width="9.42578125" style="2" customWidth="1"/>
    <col min="3" max="3" width="8.85546875" style="2" bestFit="1" customWidth="1"/>
    <col min="11" max="11" width="10.28515625" customWidth="1"/>
    <col min="15" max="16" width="9.28515625" bestFit="1" customWidth="1"/>
  </cols>
  <sheetData>
    <row r="1" spans="1:16" ht="43.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23" t="s">
        <v>7</v>
      </c>
      <c r="I1" s="23" t="s">
        <v>8</v>
      </c>
      <c r="J1" s="35" t="s">
        <v>9</v>
      </c>
      <c r="K1" s="23" t="s">
        <v>10</v>
      </c>
      <c r="L1" s="27" t="s">
        <v>11</v>
      </c>
      <c r="M1" s="30" t="s">
        <v>12</v>
      </c>
      <c r="N1" s="30" t="s">
        <v>13</v>
      </c>
      <c r="O1" s="34" t="s">
        <v>14</v>
      </c>
      <c r="P1" s="34" t="s">
        <v>15</v>
      </c>
    </row>
    <row r="2" spans="1:16">
      <c r="A2" s="6" t="s">
        <v>16</v>
      </c>
      <c r="B2" s="16">
        <v>9</v>
      </c>
      <c r="C2" s="17">
        <v>24.5396</v>
      </c>
      <c r="D2" s="18">
        <v>27.9678</v>
      </c>
      <c r="E2" s="18">
        <v>27.922799999999999</v>
      </c>
      <c r="F2" s="18">
        <v>-249.84</v>
      </c>
      <c r="G2" s="18">
        <v>24.8</v>
      </c>
      <c r="H2">
        <f>E2-C2</f>
        <v>3.3831999999999987</v>
      </c>
      <c r="I2">
        <f>D2-E2</f>
        <v>4.5000000000001705E-2</v>
      </c>
      <c r="J2">
        <f>F2*102.1788</f>
        <v>-25528.351392</v>
      </c>
      <c r="K2">
        <f>I2/H2</f>
        <v>1.3301016788839479E-2</v>
      </c>
      <c r="L2" s="29">
        <v>1000</v>
      </c>
      <c r="M2" s="31">
        <v>-6.0000000000000006E-20</v>
      </c>
      <c r="N2" s="29">
        <v>9.8000000000000007</v>
      </c>
      <c r="O2" s="26">
        <f>((K2/((M2/(6*PI()*L2*J2*N2))^(1/3)))/L2)</f>
        <v>56975.010535902606</v>
      </c>
      <c r="P2" s="26">
        <f>O2/1000</f>
        <v>56.975010535902605</v>
      </c>
    </row>
    <row r="3" spans="1:16">
      <c r="A3" s="9" t="s">
        <v>17</v>
      </c>
      <c r="B3" s="19">
        <v>3</v>
      </c>
      <c r="C3" s="18">
        <v>24.498000000000001</v>
      </c>
      <c r="D3" s="18">
        <v>27.518599999999999</v>
      </c>
      <c r="E3" s="18">
        <v>27.479800000000001</v>
      </c>
      <c r="F3" s="18">
        <v>-263.44</v>
      </c>
      <c r="G3" s="18">
        <v>24.7</v>
      </c>
      <c r="H3">
        <f t="shared" ref="H3:H37" si="0">E3-C3</f>
        <v>2.9817999999999998</v>
      </c>
      <c r="I3">
        <f t="shared" ref="I3:I37" si="1">D3-E3</f>
        <v>3.8799999999998391E-2</v>
      </c>
      <c r="J3">
        <f t="shared" ref="J3:J37" si="2">F3*102.1788</f>
        <v>-26917.983071999999</v>
      </c>
      <c r="K3">
        <f t="shared" ref="K3:K37" si="3">I3/H3</f>
        <v>1.3012274465087664E-2</v>
      </c>
      <c r="L3" s="32">
        <v>1000</v>
      </c>
      <c r="M3" s="33">
        <v>-6.0000000000000006E-20</v>
      </c>
      <c r="N3" s="32">
        <v>9.8000000000000007</v>
      </c>
      <c r="O3" s="26">
        <f t="shared" ref="O3:O37" si="4">((K3/((M3/(6*PI()*L3*J3*N3))^(1/3)))/L3)</f>
        <v>56731.731204880576</v>
      </c>
      <c r="P3" s="26">
        <f t="shared" ref="P3:P37" si="5">O3/1000</f>
        <v>56.731731204880575</v>
      </c>
    </row>
    <row r="4" spans="1:16">
      <c r="A4" s="9" t="s">
        <v>18</v>
      </c>
      <c r="B4" s="19">
        <v>14</v>
      </c>
      <c r="C4" s="18">
        <v>23.539100000000001</v>
      </c>
      <c r="D4" s="18">
        <v>26.858899999999998</v>
      </c>
      <c r="E4" s="18">
        <v>26.811399999999999</v>
      </c>
      <c r="F4" s="18">
        <v>-321.76</v>
      </c>
      <c r="G4" s="18">
        <v>24.6</v>
      </c>
      <c r="H4">
        <f t="shared" si="0"/>
        <v>3.2722999999999978</v>
      </c>
      <c r="I4">
        <f t="shared" si="1"/>
        <v>4.7499999999999432E-2</v>
      </c>
      <c r="J4">
        <f t="shared" si="2"/>
        <v>-32877.050687999996</v>
      </c>
      <c r="K4">
        <f t="shared" si="3"/>
        <v>1.451578400513384E-2</v>
      </c>
      <c r="L4" s="32">
        <v>1000</v>
      </c>
      <c r="M4" s="33">
        <v>-6.0000000000000006E-20</v>
      </c>
      <c r="N4" s="32">
        <v>9.8000000000000007</v>
      </c>
      <c r="O4" s="26">
        <f t="shared" si="4"/>
        <v>67649.319218039847</v>
      </c>
      <c r="P4" s="26">
        <f t="shared" si="5"/>
        <v>67.649319218039849</v>
      </c>
    </row>
    <row r="5" spans="1:16">
      <c r="A5" s="9" t="s">
        <v>19</v>
      </c>
      <c r="B5" s="19">
        <v>29</v>
      </c>
      <c r="C5" s="18">
        <v>24.744700000000002</v>
      </c>
      <c r="D5" s="18">
        <v>29.086099999999998</v>
      </c>
      <c r="E5" s="18">
        <v>29.030200000000001</v>
      </c>
      <c r="F5" s="18">
        <v>-308.94</v>
      </c>
      <c r="G5" s="18">
        <v>24.6</v>
      </c>
      <c r="H5">
        <f t="shared" si="0"/>
        <v>4.285499999999999</v>
      </c>
      <c r="I5">
        <f t="shared" si="1"/>
        <v>5.5899999999997618E-2</v>
      </c>
      <c r="J5">
        <f t="shared" si="2"/>
        <v>-31567.118471999998</v>
      </c>
      <c r="K5">
        <f t="shared" si="3"/>
        <v>1.3043985532609411E-2</v>
      </c>
      <c r="L5" s="32">
        <v>1000</v>
      </c>
      <c r="M5" s="33">
        <v>-6.0000000000000006E-20</v>
      </c>
      <c r="N5" s="32">
        <v>9.8000000000000007</v>
      </c>
      <c r="O5" s="26">
        <f t="shared" si="4"/>
        <v>59971.825865613253</v>
      </c>
      <c r="P5" s="26">
        <f t="shared" si="5"/>
        <v>59.971825865613255</v>
      </c>
    </row>
    <row r="6" spans="1:16">
      <c r="A6" s="9" t="s">
        <v>20</v>
      </c>
      <c r="B6" s="19">
        <v>28</v>
      </c>
      <c r="C6" s="18">
        <v>24.557500000000001</v>
      </c>
      <c r="D6" s="18">
        <v>29.428799999999999</v>
      </c>
      <c r="E6" s="18">
        <v>29.3537</v>
      </c>
      <c r="F6" s="18">
        <v>-340.18</v>
      </c>
      <c r="G6" s="18">
        <v>24.6</v>
      </c>
      <c r="H6">
        <f t="shared" si="0"/>
        <v>4.7961999999999989</v>
      </c>
      <c r="I6">
        <f t="shared" si="1"/>
        <v>7.5099999999999056E-2</v>
      </c>
      <c r="J6">
        <f t="shared" si="2"/>
        <v>-34759.184183999998</v>
      </c>
      <c r="K6">
        <f t="shared" si="3"/>
        <v>1.5658229431633183E-2</v>
      </c>
      <c r="L6" s="32">
        <v>1000</v>
      </c>
      <c r="M6" s="33">
        <v>-6.0000000000000006E-20</v>
      </c>
      <c r="N6" s="32">
        <v>9.8000000000000007</v>
      </c>
      <c r="O6" s="26">
        <f t="shared" si="4"/>
        <v>74340.331488998389</v>
      </c>
      <c r="P6" s="26">
        <f t="shared" si="5"/>
        <v>74.340331488998387</v>
      </c>
    </row>
    <row r="7" spans="1:16">
      <c r="A7" s="10" t="s">
        <v>21</v>
      </c>
      <c r="B7" s="20">
        <v>2</v>
      </c>
      <c r="C7" s="21">
        <v>24.426500000000001</v>
      </c>
      <c r="D7" s="21">
        <v>29.7532</v>
      </c>
      <c r="E7" s="21">
        <v>28.693000000000001</v>
      </c>
      <c r="F7" s="21">
        <v>-256.89999999999998</v>
      </c>
      <c r="G7" s="21">
        <v>24.8</v>
      </c>
      <c r="H7">
        <f t="shared" si="0"/>
        <v>4.2665000000000006</v>
      </c>
      <c r="I7">
        <f t="shared" si="1"/>
        <v>1.0601999999999983</v>
      </c>
      <c r="J7">
        <f t="shared" si="2"/>
        <v>-26249.733719999997</v>
      </c>
      <c r="K7">
        <f t="shared" si="3"/>
        <v>0.24849408180006988</v>
      </c>
      <c r="L7" s="32">
        <v>1000</v>
      </c>
      <c r="M7" s="33">
        <v>-6.0000000000000006E-20</v>
      </c>
      <c r="N7" s="32">
        <v>9.8000000000000007</v>
      </c>
      <c r="O7" s="26">
        <f t="shared" si="4"/>
        <v>1074359.5949282029</v>
      </c>
      <c r="P7" s="26">
        <f t="shared" si="5"/>
        <v>1074.359594928203</v>
      </c>
    </row>
    <row r="8" spans="1:16">
      <c r="A8" s="9" t="s">
        <v>22</v>
      </c>
      <c r="B8" s="19">
        <v>13</v>
      </c>
      <c r="C8" s="18">
        <v>23.501000000000001</v>
      </c>
      <c r="D8" s="18">
        <v>26.092600000000001</v>
      </c>
      <c r="E8" s="18">
        <v>26.049099999999999</v>
      </c>
      <c r="F8" s="18">
        <v>-181.61</v>
      </c>
      <c r="G8" s="18">
        <v>24.7</v>
      </c>
      <c r="H8">
        <f t="shared" si="0"/>
        <v>2.548099999999998</v>
      </c>
      <c r="I8">
        <f t="shared" si="1"/>
        <v>4.3500000000001648E-2</v>
      </c>
      <c r="J8">
        <f t="shared" si="2"/>
        <v>-18556.691868000002</v>
      </c>
      <c r="K8">
        <f t="shared" si="3"/>
        <v>1.7071543503002898E-2</v>
      </c>
      <c r="L8" s="32">
        <v>1000</v>
      </c>
      <c r="M8" s="33">
        <v>-6.0000000000000006E-20</v>
      </c>
      <c r="N8" s="32">
        <v>9.8000000000000007</v>
      </c>
      <c r="O8" s="26">
        <f t="shared" si="4"/>
        <v>65750.383565144701</v>
      </c>
      <c r="P8" s="26">
        <f t="shared" si="5"/>
        <v>65.750383565144702</v>
      </c>
    </row>
    <row r="9" spans="1:16">
      <c r="A9" s="9" t="s">
        <v>23</v>
      </c>
      <c r="B9" s="19">
        <v>17</v>
      </c>
      <c r="C9" s="18">
        <v>23.4954</v>
      </c>
      <c r="D9" s="18">
        <v>25.422699999999999</v>
      </c>
      <c r="E9" s="18">
        <v>25.3873</v>
      </c>
      <c r="F9" s="18">
        <v>-186.58</v>
      </c>
      <c r="G9" s="18">
        <v>24.9</v>
      </c>
      <c r="H9">
        <f t="shared" si="0"/>
        <v>1.8918999999999997</v>
      </c>
      <c r="I9">
        <f t="shared" si="1"/>
        <v>3.539999999999921E-2</v>
      </c>
      <c r="J9">
        <f t="shared" si="2"/>
        <v>-19064.520504</v>
      </c>
      <c r="K9">
        <f t="shared" si="3"/>
        <v>1.87113483799351E-2</v>
      </c>
      <c r="L9" s="32">
        <v>1000</v>
      </c>
      <c r="M9" s="33">
        <v>-6.0000000000000006E-20</v>
      </c>
      <c r="N9" s="32">
        <v>9.8000000000000007</v>
      </c>
      <c r="O9" s="26">
        <f t="shared" si="4"/>
        <v>72717.515113174508</v>
      </c>
      <c r="P9" s="26">
        <f t="shared" si="5"/>
        <v>72.717515113174514</v>
      </c>
    </row>
    <row r="10" spans="1:16">
      <c r="A10" s="9" t="s">
        <v>24</v>
      </c>
      <c r="B10" s="19">
        <v>16</v>
      </c>
      <c r="C10" s="18">
        <v>24.8752</v>
      </c>
      <c r="D10" s="18">
        <v>27.1235</v>
      </c>
      <c r="E10" s="18">
        <v>27.1249</v>
      </c>
      <c r="F10" s="18">
        <v>-191.79</v>
      </c>
      <c r="G10" s="18">
        <v>24.9</v>
      </c>
      <c r="H10">
        <f t="shared" si="0"/>
        <v>2.2497000000000007</v>
      </c>
      <c r="I10" s="24">
        <f t="shared" si="1"/>
        <v>-1.4000000000002899E-3</v>
      </c>
      <c r="J10">
        <f t="shared" si="2"/>
        <v>-19596.872051999999</v>
      </c>
      <c r="K10" s="24">
        <f t="shared" si="3"/>
        <v>-6.223051962485173E-4</v>
      </c>
      <c r="L10" s="32">
        <v>1000</v>
      </c>
      <c r="M10" s="33">
        <v>-6.0000000000000006E-20</v>
      </c>
      <c r="N10" s="32">
        <v>9.8000000000000007</v>
      </c>
      <c r="O10" s="26">
        <f t="shared" si="4"/>
        <v>-2440.7557954557633</v>
      </c>
      <c r="P10" s="36">
        <f t="shared" si="5"/>
        <v>-2.4407557954557633</v>
      </c>
    </row>
    <row r="11" spans="1:16">
      <c r="A11" s="9" t="s">
        <v>25</v>
      </c>
      <c r="B11" s="19">
        <v>15</v>
      </c>
      <c r="C11" s="18">
        <v>23.411200000000001</v>
      </c>
      <c r="D11" s="18">
        <v>28.785900000000002</v>
      </c>
      <c r="E11" s="18">
        <v>28.702999999999999</v>
      </c>
      <c r="F11" s="18">
        <v>-179.57</v>
      </c>
      <c r="G11" s="18">
        <v>24.7</v>
      </c>
      <c r="H11">
        <f t="shared" si="0"/>
        <v>5.2917999999999985</v>
      </c>
      <c r="I11">
        <f t="shared" si="1"/>
        <v>8.2900000000002194E-2</v>
      </c>
      <c r="J11">
        <f t="shared" si="2"/>
        <v>-18348.247115999999</v>
      </c>
      <c r="K11">
        <f t="shared" si="3"/>
        <v>1.56657470048003E-2</v>
      </c>
      <c r="L11" s="32">
        <v>1000</v>
      </c>
      <c r="M11" s="33">
        <v>-6.0000000000000006E-20</v>
      </c>
      <c r="N11" s="32">
        <v>9.8000000000000007</v>
      </c>
      <c r="O11" s="26">
        <f t="shared" si="4"/>
        <v>60109.246642000078</v>
      </c>
      <c r="P11" s="26">
        <f t="shared" si="5"/>
        <v>60.10924664200008</v>
      </c>
    </row>
    <row r="12" spans="1:16">
      <c r="A12" s="9" t="s">
        <v>26</v>
      </c>
      <c r="B12" s="19">
        <v>12</v>
      </c>
      <c r="C12" s="18">
        <v>24.568200000000001</v>
      </c>
      <c r="D12" s="18">
        <v>30.611899999999999</v>
      </c>
      <c r="E12" s="18">
        <v>30.519200000000001</v>
      </c>
      <c r="F12" s="18">
        <v>-333.54</v>
      </c>
      <c r="G12" s="18">
        <v>24.7</v>
      </c>
      <c r="H12">
        <f t="shared" si="0"/>
        <v>5.9510000000000005</v>
      </c>
      <c r="I12">
        <f t="shared" si="1"/>
        <v>9.2699999999997118E-2</v>
      </c>
      <c r="J12">
        <f t="shared" si="2"/>
        <v>-34080.716952000002</v>
      </c>
      <c r="K12">
        <f t="shared" si="3"/>
        <v>1.5577213913627475E-2</v>
      </c>
      <c r="L12" s="32">
        <v>1000</v>
      </c>
      <c r="M12" s="33">
        <v>-6.0000000000000006E-20</v>
      </c>
      <c r="N12" s="32">
        <v>9.8000000000000007</v>
      </c>
      <c r="O12" s="26">
        <f t="shared" si="4"/>
        <v>73471.347903424132</v>
      </c>
      <c r="P12" s="26">
        <f t="shared" si="5"/>
        <v>73.471347903424132</v>
      </c>
    </row>
    <row r="13" spans="1:16">
      <c r="A13" s="10" t="s">
        <v>27</v>
      </c>
      <c r="B13" s="20">
        <v>11</v>
      </c>
      <c r="C13" s="21">
        <v>24.688600000000001</v>
      </c>
      <c r="D13" s="21">
        <v>28.314800000000002</v>
      </c>
      <c r="E13" s="21">
        <v>28.252700000000001</v>
      </c>
      <c r="F13" s="21">
        <v>-343.09</v>
      </c>
      <c r="G13" s="21">
        <v>24.7</v>
      </c>
      <c r="H13">
        <f t="shared" si="0"/>
        <v>3.5640999999999998</v>
      </c>
      <c r="I13">
        <f t="shared" si="1"/>
        <v>6.2100000000000932E-2</v>
      </c>
      <c r="J13">
        <f t="shared" si="2"/>
        <v>-35056.524491999997</v>
      </c>
      <c r="K13">
        <f t="shared" si="3"/>
        <v>1.7423753542268997E-2</v>
      </c>
      <c r="L13" s="32">
        <v>1000</v>
      </c>
      <c r="M13" s="33">
        <v>-6.0000000000000006E-20</v>
      </c>
      <c r="N13" s="32">
        <v>9.8000000000000007</v>
      </c>
      <c r="O13" s="26">
        <f t="shared" si="4"/>
        <v>82957.690844571145</v>
      </c>
      <c r="P13" s="26">
        <f t="shared" si="5"/>
        <v>82.957690844571147</v>
      </c>
    </row>
    <row r="14" spans="1:16">
      <c r="A14" s="9" t="s">
        <v>28</v>
      </c>
      <c r="B14" s="3">
        <v>22</v>
      </c>
      <c r="C14" s="5">
        <v>24.5749</v>
      </c>
      <c r="D14" s="5">
        <v>27.547699999999999</v>
      </c>
      <c r="E14" s="5">
        <v>27.506</v>
      </c>
      <c r="F14" s="5">
        <v>-158.16</v>
      </c>
      <c r="G14" s="5">
        <v>24.9</v>
      </c>
      <c r="H14">
        <f t="shared" si="0"/>
        <v>2.9311000000000007</v>
      </c>
      <c r="I14">
        <f t="shared" si="1"/>
        <v>4.1699999999998738E-2</v>
      </c>
      <c r="J14">
        <f t="shared" si="2"/>
        <v>-16160.599007999999</v>
      </c>
      <c r="K14">
        <f t="shared" si="3"/>
        <v>1.422674081402843E-2</v>
      </c>
      <c r="L14" s="32">
        <v>1000</v>
      </c>
      <c r="M14" s="33">
        <v>-6.0000000000000006E-20</v>
      </c>
      <c r="N14" s="32">
        <v>9.8000000000000007</v>
      </c>
      <c r="O14" s="26">
        <f t="shared" si="4"/>
        <v>52325.881545834076</v>
      </c>
      <c r="P14" s="26">
        <f t="shared" si="5"/>
        <v>52.325881545834079</v>
      </c>
    </row>
    <row r="15" spans="1:16">
      <c r="A15" s="9" t="s">
        <v>29</v>
      </c>
      <c r="B15" s="3">
        <v>20</v>
      </c>
      <c r="C15" s="5">
        <v>22.686499999999999</v>
      </c>
      <c r="D15" s="5">
        <v>26.529800000000002</v>
      </c>
      <c r="E15" s="5">
        <v>26.48</v>
      </c>
      <c r="F15" s="5">
        <v>-193.27</v>
      </c>
      <c r="G15" s="5">
        <v>24.9</v>
      </c>
      <c r="H15">
        <f t="shared" si="0"/>
        <v>3.7935000000000016</v>
      </c>
      <c r="I15">
        <f t="shared" si="1"/>
        <v>4.9800000000001177E-2</v>
      </c>
      <c r="J15">
        <f t="shared" si="2"/>
        <v>-19748.096676000001</v>
      </c>
      <c r="K15">
        <f t="shared" si="3"/>
        <v>1.3127718465797062E-2</v>
      </c>
      <c r="L15" s="32">
        <v>1000</v>
      </c>
      <c r="M15" s="33">
        <v>-6.0000000000000006E-20</v>
      </c>
      <c r="N15" s="32">
        <v>9.8000000000000007</v>
      </c>
      <c r="O15" s="26">
        <f t="shared" si="4"/>
        <v>51620.592536167816</v>
      </c>
      <c r="P15" s="26">
        <f t="shared" si="5"/>
        <v>51.62059253616782</v>
      </c>
    </row>
    <row r="16" spans="1:16">
      <c r="A16" s="9" t="s">
        <v>30</v>
      </c>
      <c r="B16" s="3">
        <v>27</v>
      </c>
      <c r="C16" s="5">
        <v>24.6021</v>
      </c>
      <c r="D16" s="5">
        <v>27.433199999999999</v>
      </c>
      <c r="E16" s="5">
        <v>27.3995</v>
      </c>
      <c r="F16" s="5">
        <v>-173.29</v>
      </c>
      <c r="G16" s="5">
        <v>24.9</v>
      </c>
      <c r="H16">
        <f t="shared" si="0"/>
        <v>2.7973999999999997</v>
      </c>
      <c r="I16">
        <f t="shared" si="1"/>
        <v>3.3699999999999619E-2</v>
      </c>
      <c r="J16">
        <f t="shared" si="2"/>
        <v>-17706.564252</v>
      </c>
      <c r="K16">
        <f t="shared" si="3"/>
        <v>1.2046900693500973E-2</v>
      </c>
      <c r="L16" s="32">
        <v>1000</v>
      </c>
      <c r="M16" s="33">
        <v>-6.0000000000000006E-20</v>
      </c>
      <c r="N16" s="32">
        <v>9.8000000000000007</v>
      </c>
      <c r="O16" s="26">
        <f t="shared" si="4"/>
        <v>45678.525838778834</v>
      </c>
      <c r="P16" s="26">
        <f t="shared" si="5"/>
        <v>45.678525838778832</v>
      </c>
    </row>
    <row r="17" spans="1:16">
      <c r="A17" s="9" t="s">
        <v>31</v>
      </c>
      <c r="B17" s="3">
        <v>10</v>
      </c>
      <c r="C17" s="5">
        <v>24.603899999999999</v>
      </c>
      <c r="D17" s="5">
        <v>28.7681</v>
      </c>
      <c r="E17" s="5">
        <v>28.7178</v>
      </c>
      <c r="F17" s="5">
        <v>-266.08999999999997</v>
      </c>
      <c r="G17" s="5">
        <v>24.9</v>
      </c>
      <c r="H17">
        <f t="shared" si="0"/>
        <v>4.113900000000001</v>
      </c>
      <c r="I17">
        <f t="shared" si="1"/>
        <v>5.0300000000000011E-2</v>
      </c>
      <c r="J17">
        <f t="shared" si="2"/>
        <v>-27188.756891999998</v>
      </c>
      <c r="K17">
        <f t="shared" si="3"/>
        <v>1.2226840710761078E-2</v>
      </c>
      <c r="L17" s="32">
        <v>1000</v>
      </c>
      <c r="M17" s="33">
        <v>-6.0000000000000006E-20</v>
      </c>
      <c r="N17" s="32">
        <v>9.8000000000000007</v>
      </c>
      <c r="O17" s="26">
        <f t="shared" si="4"/>
        <v>53485.495180506354</v>
      </c>
      <c r="P17" s="26">
        <f t="shared" si="5"/>
        <v>53.485495180506355</v>
      </c>
    </row>
    <row r="18" spans="1:16">
      <c r="A18" s="9" t="s">
        <v>32</v>
      </c>
      <c r="B18" s="3">
        <v>19</v>
      </c>
      <c r="C18" s="5">
        <v>24.7379</v>
      </c>
      <c r="D18" s="5">
        <v>28.279</v>
      </c>
      <c r="E18" s="5">
        <v>28.202500000000001</v>
      </c>
      <c r="F18" s="5">
        <v>-258.10000000000002</v>
      </c>
      <c r="G18" s="5">
        <v>24.9</v>
      </c>
      <c r="H18">
        <f t="shared" si="0"/>
        <v>3.4646000000000008</v>
      </c>
      <c r="I18">
        <f t="shared" si="1"/>
        <v>7.6499999999999346E-2</v>
      </c>
      <c r="J18">
        <f t="shared" si="2"/>
        <v>-26372.348280000002</v>
      </c>
      <c r="K18">
        <f t="shared" si="3"/>
        <v>2.2080471050048876E-2</v>
      </c>
      <c r="L18" s="32">
        <v>1000</v>
      </c>
      <c r="M18" s="33">
        <v>-6.0000000000000006E-20</v>
      </c>
      <c r="N18" s="32">
        <v>9.8000000000000007</v>
      </c>
      <c r="O18" s="26">
        <f t="shared" si="4"/>
        <v>95612.920603250124</v>
      </c>
      <c r="P18" s="26">
        <f t="shared" si="5"/>
        <v>95.612920603250117</v>
      </c>
    </row>
    <row r="19" spans="1:16">
      <c r="A19" s="10" t="s">
        <v>33</v>
      </c>
      <c r="B19" s="11">
        <v>25</v>
      </c>
      <c r="C19" s="12">
        <v>25.029800000000002</v>
      </c>
      <c r="D19" s="12">
        <v>28.706800000000001</v>
      </c>
      <c r="E19" s="12">
        <v>28.6708</v>
      </c>
      <c r="F19" s="12">
        <v>-201.31</v>
      </c>
      <c r="G19" s="12">
        <v>24.9</v>
      </c>
      <c r="H19">
        <f t="shared" si="0"/>
        <v>3.6409999999999982</v>
      </c>
      <c r="I19">
        <f t="shared" si="1"/>
        <v>3.6000000000001364E-2</v>
      </c>
      <c r="J19">
        <f t="shared" si="2"/>
        <v>-20569.614227999999</v>
      </c>
      <c r="K19">
        <f t="shared" si="3"/>
        <v>9.8873935731945573E-3</v>
      </c>
      <c r="L19" s="32">
        <v>1000</v>
      </c>
      <c r="M19" s="33">
        <v>-6.0000000000000006E-20</v>
      </c>
      <c r="N19" s="32">
        <v>9.8000000000000007</v>
      </c>
      <c r="O19" s="26">
        <f t="shared" si="4"/>
        <v>39410.854708135979</v>
      </c>
      <c r="P19" s="26">
        <f t="shared" si="5"/>
        <v>39.410854708135979</v>
      </c>
    </row>
    <row r="20" spans="1:16">
      <c r="A20" s="13" t="s">
        <v>34</v>
      </c>
      <c r="B20" s="3">
        <v>24</v>
      </c>
      <c r="C20" s="5">
        <v>24.631900000000002</v>
      </c>
      <c r="D20" s="5">
        <v>27.5854</v>
      </c>
      <c r="E20" s="5">
        <v>27.5258</v>
      </c>
      <c r="F20" s="5">
        <v>-166.85</v>
      </c>
      <c r="G20" s="5">
        <v>24.9</v>
      </c>
      <c r="H20">
        <f t="shared" si="0"/>
        <v>2.8938999999999986</v>
      </c>
      <c r="I20">
        <f t="shared" si="1"/>
        <v>5.9599999999999653E-2</v>
      </c>
      <c r="J20">
        <f t="shared" si="2"/>
        <v>-17048.532779999998</v>
      </c>
      <c r="K20">
        <f t="shared" si="3"/>
        <v>2.0595044749300143E-2</v>
      </c>
      <c r="L20" s="32">
        <v>1000</v>
      </c>
      <c r="M20" s="33">
        <v>-6.0000000000000006E-20</v>
      </c>
      <c r="N20" s="32">
        <v>9.8000000000000007</v>
      </c>
      <c r="O20" s="26">
        <f t="shared" si="4"/>
        <v>77111.128518057507</v>
      </c>
      <c r="P20" s="26">
        <f t="shared" si="5"/>
        <v>77.111128518057512</v>
      </c>
    </row>
    <row r="21" spans="1:16">
      <c r="A21" s="13" t="s">
        <v>35</v>
      </c>
      <c r="B21" s="3">
        <v>12</v>
      </c>
      <c r="C21" s="5">
        <v>24.570599999999999</v>
      </c>
      <c r="D21" s="5">
        <v>27.428000000000001</v>
      </c>
      <c r="E21" s="5">
        <v>27.370799999999999</v>
      </c>
      <c r="F21" s="5">
        <v>-161.87</v>
      </c>
      <c r="G21" s="5">
        <v>24.9</v>
      </c>
      <c r="H21">
        <f t="shared" si="0"/>
        <v>2.8002000000000002</v>
      </c>
      <c r="I21">
        <f t="shared" si="1"/>
        <v>5.7200000000001694E-2</v>
      </c>
      <c r="J21">
        <f t="shared" si="2"/>
        <v>-16539.682356000001</v>
      </c>
      <c r="K21">
        <f t="shared" si="3"/>
        <v>2.0427112349118523E-2</v>
      </c>
      <c r="L21" s="32">
        <v>1000</v>
      </c>
      <c r="M21" s="33">
        <v>-6.0000000000000006E-20</v>
      </c>
      <c r="N21" s="32">
        <v>9.8000000000000007</v>
      </c>
      <c r="O21" s="26">
        <f t="shared" si="4"/>
        <v>75713.736949928512</v>
      </c>
      <c r="P21" s="26">
        <f t="shared" si="5"/>
        <v>75.713736949928517</v>
      </c>
    </row>
    <row r="22" spans="1:16">
      <c r="A22" s="13" t="s">
        <v>36</v>
      </c>
      <c r="B22" s="3">
        <v>26</v>
      </c>
      <c r="C22" s="5">
        <v>24.719100000000001</v>
      </c>
      <c r="D22" s="5">
        <v>27.6707</v>
      </c>
      <c r="E22" s="5">
        <v>27.6035</v>
      </c>
      <c r="F22" s="5">
        <v>-170.28</v>
      </c>
      <c r="G22" s="5">
        <v>24.9</v>
      </c>
      <c r="H22">
        <f t="shared" si="0"/>
        <v>2.8843999999999994</v>
      </c>
      <c r="I22">
        <f t="shared" si="1"/>
        <v>6.7199999999999704E-2</v>
      </c>
      <c r="J22">
        <f t="shared" si="2"/>
        <v>-17399.006064000001</v>
      </c>
      <c r="K22">
        <f t="shared" si="3"/>
        <v>2.3297739564554054E-2</v>
      </c>
      <c r="L22" s="32">
        <v>1000</v>
      </c>
      <c r="M22" s="33">
        <v>-6.0000000000000006E-20</v>
      </c>
      <c r="N22" s="32">
        <v>9.8000000000000007</v>
      </c>
      <c r="O22" s="26">
        <f t="shared" si="4"/>
        <v>87824.141963086804</v>
      </c>
      <c r="P22" s="26">
        <f t="shared" si="5"/>
        <v>87.824141963086802</v>
      </c>
    </row>
    <row r="23" spans="1:16">
      <c r="A23" s="13" t="s">
        <v>37</v>
      </c>
      <c r="B23" s="3">
        <v>2</v>
      </c>
      <c r="C23" s="5">
        <v>24.427900000000001</v>
      </c>
      <c r="D23" s="5">
        <v>27.1264</v>
      </c>
      <c r="E23" s="5">
        <v>27.0886</v>
      </c>
      <c r="F23" s="5">
        <v>-166.59</v>
      </c>
      <c r="G23" s="5">
        <v>24.9</v>
      </c>
      <c r="H23">
        <f t="shared" si="0"/>
        <v>2.6606999999999985</v>
      </c>
      <c r="I23">
        <f t="shared" si="1"/>
        <v>3.7800000000000722E-2</v>
      </c>
      <c r="J23">
        <f t="shared" si="2"/>
        <v>-17021.966292000001</v>
      </c>
      <c r="K23">
        <f t="shared" si="3"/>
        <v>1.4206787687450951E-2</v>
      </c>
      <c r="L23" s="32">
        <v>1000</v>
      </c>
      <c r="M23" s="33">
        <v>-6.0000000000000006E-20</v>
      </c>
      <c r="N23" s="32">
        <v>9.8000000000000007</v>
      </c>
      <c r="O23" s="26">
        <f t="shared" si="4"/>
        <v>53164.83231229418</v>
      </c>
      <c r="P23" s="26">
        <f t="shared" si="5"/>
        <v>53.16483231229418</v>
      </c>
    </row>
    <row r="24" spans="1:16">
      <c r="A24" s="13" t="s">
        <v>38</v>
      </c>
      <c r="B24" s="3">
        <v>13</v>
      </c>
      <c r="C24" s="5">
        <v>23.503</v>
      </c>
      <c r="D24" s="5">
        <v>26.923500000000001</v>
      </c>
      <c r="E24" s="5">
        <v>26.879300000000001</v>
      </c>
      <c r="F24" s="5">
        <v>-184.29</v>
      </c>
      <c r="G24" s="5">
        <v>24.9</v>
      </c>
      <c r="H24">
        <f t="shared" si="0"/>
        <v>3.3763000000000005</v>
      </c>
      <c r="I24">
        <f t="shared" si="1"/>
        <v>4.4200000000000017E-2</v>
      </c>
      <c r="J24">
        <f t="shared" si="2"/>
        <v>-18830.531051999998</v>
      </c>
      <c r="K24">
        <f t="shared" si="3"/>
        <v>1.309125373930042E-2</v>
      </c>
      <c r="L24" s="32">
        <v>1000</v>
      </c>
      <c r="M24" s="33">
        <v>-6.0000000000000006E-20</v>
      </c>
      <c r="N24" s="32">
        <v>9.8000000000000007</v>
      </c>
      <c r="O24" s="26">
        <f t="shared" si="4"/>
        <v>50667.259266247762</v>
      </c>
      <c r="P24" s="26">
        <f t="shared" si="5"/>
        <v>50.667259266247761</v>
      </c>
    </row>
    <row r="25" spans="1:16">
      <c r="A25" s="14" t="s">
        <v>39</v>
      </c>
      <c r="B25" s="11">
        <v>19</v>
      </c>
      <c r="C25" s="12">
        <v>24.739000000000001</v>
      </c>
      <c r="D25" s="12">
        <v>27.895399999999999</v>
      </c>
      <c r="E25" s="12">
        <v>27.838000000000001</v>
      </c>
      <c r="F25" s="12">
        <v>-165.25</v>
      </c>
      <c r="G25" s="12">
        <v>24.9</v>
      </c>
      <c r="H25">
        <f t="shared" si="0"/>
        <v>3.0990000000000002</v>
      </c>
      <c r="I25">
        <f t="shared" si="1"/>
        <v>5.7399999999997675E-2</v>
      </c>
      <c r="J25">
        <f t="shared" si="2"/>
        <v>-16885.046699999999</v>
      </c>
      <c r="K25">
        <f t="shared" si="3"/>
        <v>1.8522103904484565E-2</v>
      </c>
      <c r="L25" s="32">
        <v>1000</v>
      </c>
      <c r="M25" s="33">
        <v>-6.0000000000000006E-20</v>
      </c>
      <c r="N25" s="32">
        <v>9.8000000000000007</v>
      </c>
      <c r="O25" s="26">
        <f t="shared" si="4"/>
        <v>69127.320154264278</v>
      </c>
      <c r="P25" s="26">
        <f t="shared" si="5"/>
        <v>69.127320154264282</v>
      </c>
    </row>
    <row r="26" spans="1:16">
      <c r="A26" s="13" t="s">
        <v>40</v>
      </c>
      <c r="B26" s="3">
        <v>10</v>
      </c>
      <c r="C26" s="5">
        <v>24.605599999999999</v>
      </c>
      <c r="D26" s="5">
        <v>26.5273</v>
      </c>
      <c r="E26" s="5">
        <v>26.459199999999999</v>
      </c>
      <c r="F26" s="5">
        <v>-145.63</v>
      </c>
      <c r="G26" s="5">
        <v>24.9</v>
      </c>
      <c r="H26">
        <f t="shared" si="0"/>
        <v>1.8536000000000001</v>
      </c>
      <c r="I26">
        <f t="shared" si="1"/>
        <v>6.810000000000116E-2</v>
      </c>
      <c r="J26">
        <f t="shared" si="2"/>
        <v>-14880.298643999999</v>
      </c>
      <c r="K26">
        <f t="shared" si="3"/>
        <v>3.6739318083729586E-2</v>
      </c>
      <c r="L26" s="32">
        <v>1000</v>
      </c>
      <c r="M26" s="33">
        <v>-6.0000000000000006E-20</v>
      </c>
      <c r="N26" s="32">
        <v>9.8000000000000007</v>
      </c>
      <c r="O26" s="26">
        <f t="shared" si="4"/>
        <v>131459.99852978557</v>
      </c>
      <c r="P26" s="26">
        <f t="shared" si="5"/>
        <v>131.45999852978557</v>
      </c>
    </row>
    <row r="27" spans="1:16">
      <c r="A27" s="13" t="s">
        <v>41</v>
      </c>
      <c r="B27" s="3">
        <v>29</v>
      </c>
      <c r="C27" s="5">
        <v>24.744199999999999</v>
      </c>
      <c r="D27" s="5">
        <v>27.152200000000001</v>
      </c>
      <c r="E27" s="5">
        <v>27.079799999999999</v>
      </c>
      <c r="F27" s="5">
        <v>-156.06</v>
      </c>
      <c r="G27" s="5">
        <v>24.9</v>
      </c>
      <c r="H27">
        <f t="shared" si="0"/>
        <v>2.3355999999999995</v>
      </c>
      <c r="I27">
        <f t="shared" si="1"/>
        <v>7.2400000000001796E-2</v>
      </c>
      <c r="J27">
        <f t="shared" si="2"/>
        <v>-15946.023528</v>
      </c>
      <c r="K27">
        <f t="shared" si="3"/>
        <v>3.0998458640178889E-2</v>
      </c>
      <c r="L27" s="32">
        <v>1000</v>
      </c>
      <c r="M27" s="33">
        <v>-6.0000000000000006E-20</v>
      </c>
      <c r="N27" s="32">
        <v>9.8000000000000007</v>
      </c>
      <c r="O27" s="26">
        <f t="shared" si="4"/>
        <v>113505.31961314086</v>
      </c>
      <c r="P27" s="26">
        <f t="shared" si="5"/>
        <v>113.50531961314086</v>
      </c>
    </row>
    <row r="28" spans="1:16">
      <c r="A28" s="15" t="s">
        <v>42</v>
      </c>
      <c r="B28" s="3">
        <v>14</v>
      </c>
      <c r="C28" s="5">
        <v>23.539300000000001</v>
      </c>
      <c r="D28" s="5">
        <v>26.036100000000001</v>
      </c>
      <c r="E28" s="5">
        <v>25.952400000000001</v>
      </c>
      <c r="F28" s="5">
        <v>-156.01</v>
      </c>
      <c r="G28" s="5">
        <v>24.9</v>
      </c>
      <c r="H28">
        <f t="shared" si="0"/>
        <v>2.4131</v>
      </c>
      <c r="I28">
        <f t="shared" si="1"/>
        <v>8.370000000000033E-2</v>
      </c>
      <c r="J28">
        <f t="shared" si="2"/>
        <v>-15940.914587999998</v>
      </c>
      <c r="K28">
        <f t="shared" si="3"/>
        <v>3.468567402925711E-2</v>
      </c>
      <c r="L28" s="32">
        <v>1000</v>
      </c>
      <c r="M28" s="33">
        <v>-6.0000000000000006E-20</v>
      </c>
      <c r="N28" s="32">
        <v>9.8000000000000007</v>
      </c>
      <c r="O28" s="26">
        <f t="shared" si="4"/>
        <v>126993.02435060429</v>
      </c>
      <c r="P28" s="26">
        <f t="shared" si="5"/>
        <v>126.99302435060429</v>
      </c>
    </row>
    <row r="29" spans="1:16">
      <c r="A29" s="13" t="s">
        <v>43</v>
      </c>
      <c r="B29" s="3">
        <v>21</v>
      </c>
      <c r="C29" s="5">
        <v>24.228000000000002</v>
      </c>
      <c r="D29" s="5">
        <v>26.9085</v>
      </c>
      <c r="E29" s="5">
        <v>26.838100000000001</v>
      </c>
      <c r="F29" s="5">
        <v>-157.15</v>
      </c>
      <c r="G29" s="5">
        <v>24.9</v>
      </c>
      <c r="H29">
        <f t="shared" si="0"/>
        <v>2.6100999999999992</v>
      </c>
      <c r="I29">
        <f t="shared" si="1"/>
        <v>7.0399999999999352E-2</v>
      </c>
      <c r="J29">
        <f t="shared" si="2"/>
        <v>-16057.39842</v>
      </c>
      <c r="K29">
        <f t="shared" si="3"/>
        <v>2.697214666104723E-2</v>
      </c>
      <c r="L29" s="32">
        <v>1000</v>
      </c>
      <c r="M29" s="33">
        <v>-6.0000000000000006E-20</v>
      </c>
      <c r="N29" s="32">
        <v>9.8000000000000007</v>
      </c>
      <c r="O29" s="26">
        <f t="shared" si="4"/>
        <v>98991.800413891222</v>
      </c>
      <c r="P29" s="26">
        <f t="shared" si="5"/>
        <v>98.991800413891227</v>
      </c>
    </row>
    <row r="30" spans="1:16">
      <c r="A30" s="13" t="s">
        <v>44</v>
      </c>
      <c r="B30" s="3">
        <v>7</v>
      </c>
      <c r="C30" s="5">
        <v>24.7102</v>
      </c>
      <c r="D30" s="5">
        <v>28.084</v>
      </c>
      <c r="E30" s="5">
        <v>27.993099999999998</v>
      </c>
      <c r="F30" s="5">
        <v>-157.6</v>
      </c>
      <c r="G30" s="5">
        <v>24.9</v>
      </c>
      <c r="H30">
        <f t="shared" si="0"/>
        <v>3.2828999999999979</v>
      </c>
      <c r="I30">
        <f t="shared" si="1"/>
        <v>9.0900000000001313E-2</v>
      </c>
      <c r="J30">
        <f t="shared" si="2"/>
        <v>-16103.378879999998</v>
      </c>
      <c r="K30">
        <f t="shared" si="3"/>
        <v>2.7688933564836385E-2</v>
      </c>
      <c r="L30" s="32">
        <v>1000</v>
      </c>
      <c r="M30" s="33">
        <v>-6.0000000000000006E-20</v>
      </c>
      <c r="N30" s="32">
        <v>9.8000000000000007</v>
      </c>
      <c r="O30" s="26">
        <f t="shared" si="4"/>
        <v>101719.42170253982</v>
      </c>
      <c r="P30" s="26">
        <f t="shared" si="5"/>
        <v>101.71942170253982</v>
      </c>
    </row>
    <row r="31" spans="1:16">
      <c r="A31" s="14" t="s">
        <v>45</v>
      </c>
      <c r="B31" s="11">
        <v>9</v>
      </c>
      <c r="C31" s="12">
        <v>24.539899999999999</v>
      </c>
      <c r="D31" s="12">
        <v>27.744499999999999</v>
      </c>
      <c r="E31" s="12">
        <v>27.6525</v>
      </c>
      <c r="F31" s="12">
        <v>-157.63999999999999</v>
      </c>
      <c r="G31" s="12">
        <v>24.9</v>
      </c>
      <c r="H31">
        <f t="shared" si="0"/>
        <v>3.1126000000000005</v>
      </c>
      <c r="I31">
        <f t="shared" si="1"/>
        <v>9.1999999999998749E-2</v>
      </c>
      <c r="J31">
        <f t="shared" si="2"/>
        <v>-16107.466031999998</v>
      </c>
      <c r="K31">
        <f t="shared" si="3"/>
        <v>2.9557283300134529E-2</v>
      </c>
      <c r="L31" s="32">
        <v>1000</v>
      </c>
      <c r="M31" s="33">
        <v>-6.0000000000000006E-20</v>
      </c>
      <c r="N31" s="32">
        <v>9.8000000000000007</v>
      </c>
      <c r="O31" s="26">
        <f t="shared" si="4"/>
        <v>108592.26835380758</v>
      </c>
      <c r="P31" s="26">
        <f t="shared" si="5"/>
        <v>108.59226835380758</v>
      </c>
    </row>
    <row r="32" spans="1:16">
      <c r="A32" s="13" t="s">
        <v>46</v>
      </c>
      <c r="B32" s="3">
        <v>24</v>
      </c>
      <c r="C32" s="5">
        <v>24.631499999999999</v>
      </c>
      <c r="D32" s="5">
        <v>27.919899999999998</v>
      </c>
      <c r="E32" s="5">
        <v>27.8812</v>
      </c>
      <c r="F32" s="5">
        <v>-199.01</v>
      </c>
      <c r="G32" s="5">
        <v>24.9</v>
      </c>
      <c r="H32">
        <f t="shared" si="0"/>
        <v>3.2497000000000007</v>
      </c>
      <c r="I32">
        <f t="shared" si="1"/>
        <v>3.8699999999998624E-2</v>
      </c>
      <c r="J32">
        <f t="shared" si="2"/>
        <v>-20334.602987999999</v>
      </c>
      <c r="K32">
        <f t="shared" si="3"/>
        <v>1.1908791580760875E-2</v>
      </c>
      <c r="L32" s="32">
        <v>1000</v>
      </c>
      <c r="M32" s="33">
        <v>-6.0000000000000006E-20</v>
      </c>
      <c r="N32" s="32">
        <v>9.8000000000000007</v>
      </c>
      <c r="O32" s="26">
        <f t="shared" si="4"/>
        <v>47286.616854033848</v>
      </c>
      <c r="P32" s="26">
        <f t="shared" si="5"/>
        <v>47.286616854033845</v>
      </c>
    </row>
    <row r="33" spans="1:16">
      <c r="A33" s="13" t="s">
        <v>47</v>
      </c>
      <c r="B33" s="3">
        <v>23</v>
      </c>
      <c r="C33" s="5">
        <v>25.0169</v>
      </c>
      <c r="D33" s="5">
        <v>28.8432</v>
      </c>
      <c r="E33" s="5">
        <v>28.7957</v>
      </c>
      <c r="F33" s="5">
        <v>-191.75</v>
      </c>
      <c r="G33" s="5">
        <v>24.9</v>
      </c>
      <c r="H33">
        <f t="shared" si="0"/>
        <v>3.7788000000000004</v>
      </c>
      <c r="I33">
        <f t="shared" si="1"/>
        <v>4.7499999999999432E-2</v>
      </c>
      <c r="J33">
        <f t="shared" si="2"/>
        <v>-19592.784899999999</v>
      </c>
      <c r="K33">
        <f t="shared" si="3"/>
        <v>1.2570128082989157E-2</v>
      </c>
      <c r="L33" s="32">
        <v>1000</v>
      </c>
      <c r="M33" s="33">
        <v>-6.0000000000000006E-20</v>
      </c>
      <c r="N33" s="32">
        <v>9.8000000000000007</v>
      </c>
      <c r="O33" s="26">
        <f t="shared" si="4"/>
        <v>49298.125861397872</v>
      </c>
      <c r="P33" s="26">
        <f t="shared" si="5"/>
        <v>49.298125861397871</v>
      </c>
    </row>
    <row r="34" spans="1:16">
      <c r="A34" s="13" t="s">
        <v>48</v>
      </c>
      <c r="B34" s="3">
        <v>8</v>
      </c>
      <c r="C34" s="5">
        <v>24.7258</v>
      </c>
      <c r="D34" s="5">
        <v>28.420300000000001</v>
      </c>
      <c r="E34" s="5">
        <v>28.375299999999999</v>
      </c>
      <c r="F34" s="5">
        <v>-205.11</v>
      </c>
      <c r="G34" s="5">
        <v>24.9</v>
      </c>
      <c r="H34">
        <f t="shared" si="0"/>
        <v>3.6494999999999997</v>
      </c>
      <c r="I34">
        <f t="shared" si="1"/>
        <v>4.5000000000001705E-2</v>
      </c>
      <c r="J34">
        <f t="shared" si="2"/>
        <v>-20957.893668000001</v>
      </c>
      <c r="K34">
        <f t="shared" si="3"/>
        <v>1.2330456226880863E-2</v>
      </c>
      <c r="L34" s="32">
        <v>1000</v>
      </c>
      <c r="M34" s="33">
        <v>-6.0000000000000006E-20</v>
      </c>
      <c r="N34" s="32">
        <v>9.8000000000000007</v>
      </c>
      <c r="O34" s="26">
        <f t="shared" si="4"/>
        <v>49456.15393054211</v>
      </c>
      <c r="P34" s="26">
        <f t="shared" si="5"/>
        <v>49.456153930542108</v>
      </c>
    </row>
    <row r="35" spans="1:16">
      <c r="A35" s="13" t="s">
        <v>49</v>
      </c>
      <c r="B35" s="3">
        <v>26</v>
      </c>
      <c r="C35" s="5">
        <v>24.714400000000001</v>
      </c>
      <c r="D35" s="5">
        <v>29.015899999999998</v>
      </c>
      <c r="E35" s="5">
        <v>28.962199999999999</v>
      </c>
      <c r="F35" s="5">
        <v>-202.65</v>
      </c>
      <c r="G35" s="5">
        <v>24.9</v>
      </c>
      <c r="H35">
        <f t="shared" si="0"/>
        <v>4.247799999999998</v>
      </c>
      <c r="I35">
        <f t="shared" si="1"/>
        <v>5.3699999999999193E-2</v>
      </c>
      <c r="J35">
        <f t="shared" si="2"/>
        <v>-20706.533820000001</v>
      </c>
      <c r="K35">
        <f t="shared" si="3"/>
        <v>1.2641838127971943E-2</v>
      </c>
      <c r="L35" s="32">
        <v>1000</v>
      </c>
      <c r="M35" s="33">
        <v>-6.0000000000000006E-20</v>
      </c>
      <c r="N35" s="32">
        <v>9.8000000000000007</v>
      </c>
      <c r="O35" s="26">
        <f t="shared" si="4"/>
        <v>50501.546377795523</v>
      </c>
      <c r="P35" s="26">
        <f t="shared" si="5"/>
        <v>50.50154637779552</v>
      </c>
    </row>
    <row r="36" spans="1:16">
      <c r="A36" s="13" t="s">
        <v>50</v>
      </c>
      <c r="B36" s="3">
        <v>7</v>
      </c>
      <c r="C36" s="5">
        <v>24.7073</v>
      </c>
      <c r="D36" s="5">
        <v>29.4255</v>
      </c>
      <c r="E36" s="5">
        <v>29.3733</v>
      </c>
      <c r="F36" s="5">
        <v>-211.35</v>
      </c>
      <c r="G36" s="5">
        <v>24.9</v>
      </c>
      <c r="H36">
        <f t="shared" si="0"/>
        <v>4.6660000000000004</v>
      </c>
      <c r="I36">
        <f t="shared" si="1"/>
        <v>5.2199999999999136E-2</v>
      </c>
      <c r="J36">
        <f t="shared" si="2"/>
        <v>-21595.489379999999</v>
      </c>
      <c r="K36">
        <f t="shared" si="3"/>
        <v>1.1187312473210273E-2</v>
      </c>
      <c r="L36" s="32">
        <v>1000</v>
      </c>
      <c r="M36" s="33">
        <v>-6.0000000000000006E-20</v>
      </c>
      <c r="N36" s="32">
        <v>9.8000000000000007</v>
      </c>
      <c r="O36" s="26">
        <f t="shared" si="4"/>
        <v>45321.621001569081</v>
      </c>
      <c r="P36" s="26">
        <f t="shared" si="5"/>
        <v>45.321621001569085</v>
      </c>
    </row>
    <row r="37" spans="1:16">
      <c r="A37" s="13" t="s">
        <v>51</v>
      </c>
      <c r="B37" s="11">
        <v>21</v>
      </c>
      <c r="C37" s="12">
        <v>24.225200000000001</v>
      </c>
      <c r="D37" s="12">
        <v>27.9298</v>
      </c>
      <c r="E37" s="12">
        <v>27.8903</v>
      </c>
      <c r="F37" s="12">
        <v>-207.79</v>
      </c>
      <c r="G37" s="12">
        <v>24.8</v>
      </c>
      <c r="H37">
        <f t="shared" si="0"/>
        <v>3.6650999999999989</v>
      </c>
      <c r="I37">
        <f t="shared" si="1"/>
        <v>3.9500000000000313E-2</v>
      </c>
      <c r="J37">
        <f t="shared" si="2"/>
        <v>-21231.732851999997</v>
      </c>
      <c r="K37">
        <f t="shared" si="3"/>
        <v>1.0777332132820476E-2</v>
      </c>
      <c r="L37" s="32">
        <v>1000</v>
      </c>
      <c r="M37" s="33">
        <v>-6.0000000000000006E-20</v>
      </c>
      <c r="N37" s="32">
        <v>9.8000000000000007</v>
      </c>
      <c r="O37" s="26">
        <f t="shared" si="4"/>
        <v>43414.192757814868</v>
      </c>
      <c r="P37" s="26">
        <f t="shared" si="5"/>
        <v>43.414192757814867</v>
      </c>
    </row>
    <row r="38" spans="1:16"/>
    <row r="39" spans="1:16"/>
  </sheetData>
  <conditionalFormatting sqref="A38:A1048576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EC953-71CF-4DA3-8372-E70D288CB765}">
  <dimension ref="A1:P39"/>
  <sheetViews>
    <sheetView workbookViewId="0">
      <selection activeCell="P1" sqref="P1:P1048576"/>
    </sheetView>
  </sheetViews>
  <sheetFormatPr defaultRowHeight="15" customHeight="1"/>
  <cols>
    <col min="1" max="1" width="16.42578125" style="1" customWidth="1"/>
    <col min="2" max="2" width="9.42578125" style="2" customWidth="1"/>
    <col min="3" max="3" width="8.85546875" style="2" bestFit="1" customWidth="1"/>
    <col min="11" max="11" width="10.28515625" customWidth="1"/>
    <col min="15" max="16" width="9.28515625" bestFit="1" customWidth="1"/>
  </cols>
  <sheetData>
    <row r="1" spans="1:16" ht="43.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23" t="s">
        <v>7</v>
      </c>
      <c r="I1" s="23" t="s">
        <v>8</v>
      </c>
      <c r="J1" s="35" t="s">
        <v>9</v>
      </c>
      <c r="K1" s="23" t="s">
        <v>10</v>
      </c>
      <c r="L1" s="27" t="s">
        <v>11</v>
      </c>
      <c r="M1" s="30" t="s">
        <v>12</v>
      </c>
      <c r="N1" s="30" t="s">
        <v>13</v>
      </c>
      <c r="O1" s="34" t="s">
        <v>14</v>
      </c>
      <c r="P1" s="34" t="s">
        <v>15</v>
      </c>
    </row>
    <row r="2" spans="1:16">
      <c r="A2" s="6" t="s">
        <v>16</v>
      </c>
      <c r="B2" s="7">
        <v>9</v>
      </c>
      <c r="C2" s="8">
        <v>24.5396</v>
      </c>
      <c r="D2" s="5">
        <v>27.981999999999999</v>
      </c>
      <c r="E2" s="5">
        <v>27.921199999999999</v>
      </c>
      <c r="F2" s="5">
        <v>-214.02</v>
      </c>
      <c r="G2" s="5">
        <v>24.9</v>
      </c>
      <c r="H2" s="5">
        <f>E2-C2</f>
        <v>3.3815999999999988</v>
      </c>
      <c r="I2">
        <f>D2-E2</f>
        <v>6.0800000000000409E-2</v>
      </c>
      <c r="J2">
        <f>F2*102.1788</f>
        <v>-21868.306776000001</v>
      </c>
      <c r="K2">
        <f>I2/H2</f>
        <v>1.7979654601372259E-2</v>
      </c>
      <c r="L2" s="29">
        <v>1000</v>
      </c>
      <c r="M2" s="31">
        <v>-6.0000000000000006E-20</v>
      </c>
      <c r="N2" s="29">
        <v>9.8000000000000007</v>
      </c>
      <c r="O2" s="26">
        <f>((K2/((M2/(6*PI()*L2*J2*N2))^(1/3)))/L2)</f>
        <v>73143.944935261097</v>
      </c>
      <c r="P2" s="26">
        <f>O2/1000</f>
        <v>73.143944935261104</v>
      </c>
    </row>
    <row r="3" spans="1:16">
      <c r="A3" s="9" t="s">
        <v>17</v>
      </c>
      <c r="B3" s="3">
        <v>3</v>
      </c>
      <c r="C3" s="5">
        <v>24.498000000000001</v>
      </c>
      <c r="D3" s="5">
        <v>27.534500000000001</v>
      </c>
      <c r="E3" s="5">
        <v>27.472999999999999</v>
      </c>
      <c r="F3" s="5">
        <v>-215.13</v>
      </c>
      <c r="G3" s="5">
        <v>24.9</v>
      </c>
      <c r="H3" s="5">
        <f t="shared" ref="H3:H37" si="0">E3-C3</f>
        <v>2.9749999999999979</v>
      </c>
      <c r="I3">
        <f t="shared" ref="I3:I37" si="1">D3-E3</f>
        <v>6.1500000000002331E-2</v>
      </c>
      <c r="J3">
        <f t="shared" ref="J3:J37" si="2">F3*102.1788</f>
        <v>-21981.725243999997</v>
      </c>
      <c r="K3">
        <f t="shared" ref="K3:K37" si="3">I3/H3</f>
        <v>2.0672268907563823E-2</v>
      </c>
      <c r="L3" s="32">
        <v>1000</v>
      </c>
      <c r="M3" s="33">
        <v>-6.0000000000000006E-20</v>
      </c>
      <c r="N3" s="32">
        <v>9.8000000000000007</v>
      </c>
      <c r="O3" s="26">
        <f t="shared" ref="O3:O37" si="4">((K3/((M3/(6*PI()*L3*J3*N3))^(1/3)))/L3)</f>
        <v>84243.044486715589</v>
      </c>
      <c r="P3" s="26">
        <f t="shared" ref="P3:P37" si="5">O3/1000</f>
        <v>84.24304448671559</v>
      </c>
    </row>
    <row r="4" spans="1:16">
      <c r="A4" s="9" t="s">
        <v>18</v>
      </c>
      <c r="B4" s="3">
        <v>14</v>
      </c>
      <c r="C4" s="5">
        <v>23.539100000000001</v>
      </c>
      <c r="D4" s="5">
        <v>26.8748</v>
      </c>
      <c r="E4" s="5">
        <v>26.804300000000001</v>
      </c>
      <c r="F4" s="5">
        <v>-218.26</v>
      </c>
      <c r="G4" s="5">
        <v>24.9</v>
      </c>
      <c r="H4" s="5">
        <f t="shared" si="0"/>
        <v>3.2652000000000001</v>
      </c>
      <c r="I4">
        <f t="shared" si="1"/>
        <v>7.0499999999999119E-2</v>
      </c>
      <c r="J4">
        <f t="shared" si="2"/>
        <v>-22301.544887999997</v>
      </c>
      <c r="K4">
        <f t="shared" si="3"/>
        <v>2.1591326718118069E-2</v>
      </c>
      <c r="L4" s="32">
        <v>1000</v>
      </c>
      <c r="M4" s="33">
        <v>-6.0000000000000006E-20</v>
      </c>
      <c r="N4" s="32">
        <v>9.8000000000000007</v>
      </c>
      <c r="O4" s="26">
        <f t="shared" si="4"/>
        <v>88413.034150750653</v>
      </c>
      <c r="P4" s="26">
        <f t="shared" si="5"/>
        <v>88.413034150750647</v>
      </c>
    </row>
    <row r="5" spans="1:16">
      <c r="A5" s="9" t="s">
        <v>19</v>
      </c>
      <c r="B5" s="3">
        <v>29</v>
      </c>
      <c r="C5" s="5">
        <v>24.744700000000002</v>
      </c>
      <c r="D5" s="5">
        <v>29.103200000000001</v>
      </c>
      <c r="E5" s="5">
        <v>29.023299999999999</v>
      </c>
      <c r="F5" s="5">
        <v>-214.47</v>
      </c>
      <c r="G5" s="5">
        <v>24.9</v>
      </c>
      <c r="H5" s="5">
        <f t="shared" si="0"/>
        <v>4.2785999999999973</v>
      </c>
      <c r="I5">
        <f t="shared" si="1"/>
        <v>7.990000000000208E-2</v>
      </c>
      <c r="J5">
        <f t="shared" si="2"/>
        <v>-21914.287236</v>
      </c>
      <c r="K5">
        <f t="shared" si="3"/>
        <v>1.8674332725658424E-2</v>
      </c>
      <c r="L5" s="32">
        <v>1000</v>
      </c>
      <c r="M5" s="33">
        <v>-6.0000000000000006E-20</v>
      </c>
      <c r="N5" s="32">
        <v>9.8000000000000007</v>
      </c>
      <c r="O5" s="26">
        <f t="shared" si="4"/>
        <v>76023.208001255101</v>
      </c>
      <c r="P5" s="26">
        <f t="shared" si="5"/>
        <v>76.023208001255099</v>
      </c>
    </row>
    <row r="6" spans="1:16">
      <c r="A6" s="9" t="s">
        <v>20</v>
      </c>
      <c r="B6" s="3">
        <v>28</v>
      </c>
      <c r="C6" s="5">
        <v>24.557500000000001</v>
      </c>
      <c r="D6" s="5">
        <v>29.447399999999998</v>
      </c>
      <c r="E6" s="5">
        <v>29.3505</v>
      </c>
      <c r="F6" s="5">
        <v>-221.23</v>
      </c>
      <c r="G6" s="5">
        <v>24.7</v>
      </c>
      <c r="H6" s="5">
        <f t="shared" si="0"/>
        <v>4.7929999999999993</v>
      </c>
      <c r="I6">
        <f t="shared" si="1"/>
        <v>9.6899999999997988E-2</v>
      </c>
      <c r="J6">
        <f t="shared" si="2"/>
        <v>-22605.015923999999</v>
      </c>
      <c r="K6">
        <f t="shared" si="3"/>
        <v>2.0216983100354267E-2</v>
      </c>
      <c r="L6" s="29">
        <v>1000</v>
      </c>
      <c r="M6" s="31">
        <v>-6.0000000000000006E-20</v>
      </c>
      <c r="N6" s="29">
        <v>9.8000000000000007</v>
      </c>
      <c r="O6" s="26">
        <f t="shared" si="4"/>
        <v>83159.129899040956</v>
      </c>
      <c r="P6" s="26">
        <f t="shared" si="5"/>
        <v>83.159129899040963</v>
      </c>
    </row>
    <row r="7" spans="1:16">
      <c r="A7" s="10" t="s">
        <v>21</v>
      </c>
      <c r="B7" s="11">
        <v>2</v>
      </c>
      <c r="C7" s="12">
        <v>24.426500000000001</v>
      </c>
      <c r="D7" s="5">
        <v>28.77</v>
      </c>
      <c r="E7" s="5">
        <v>28.6905</v>
      </c>
      <c r="F7" s="5">
        <v>-216.4</v>
      </c>
      <c r="G7" s="5">
        <v>24.9</v>
      </c>
      <c r="H7" s="5">
        <f t="shared" si="0"/>
        <v>4.2639999999999993</v>
      </c>
      <c r="I7">
        <f t="shared" si="1"/>
        <v>7.949999999999946E-2</v>
      </c>
      <c r="J7">
        <f t="shared" si="2"/>
        <v>-22111.492320000001</v>
      </c>
      <c r="K7">
        <f t="shared" si="3"/>
        <v>1.8644465290806631E-2</v>
      </c>
      <c r="L7" s="32">
        <v>1000</v>
      </c>
      <c r="M7" s="33">
        <v>-6.0000000000000006E-20</v>
      </c>
      <c r="N7" s="32">
        <v>9.8000000000000007</v>
      </c>
      <c r="O7" s="26">
        <f t="shared" si="4"/>
        <v>76128.615837488105</v>
      </c>
      <c r="P7" s="26">
        <f t="shared" si="5"/>
        <v>76.128615837488098</v>
      </c>
    </row>
    <row r="8" spans="1:16">
      <c r="A8" s="9" t="s">
        <v>22</v>
      </c>
      <c r="B8" s="3">
        <v>13</v>
      </c>
      <c r="C8" s="5">
        <v>23.501000000000001</v>
      </c>
      <c r="D8" s="5">
        <v>26.107800000000001</v>
      </c>
      <c r="E8" s="5">
        <v>26.047000000000001</v>
      </c>
      <c r="F8" s="5">
        <v>-224.32</v>
      </c>
      <c r="G8" s="5">
        <v>24.9</v>
      </c>
      <c r="H8" s="5">
        <f t="shared" si="0"/>
        <v>2.5459999999999994</v>
      </c>
      <c r="I8">
        <f t="shared" si="1"/>
        <v>6.0800000000000409E-2</v>
      </c>
      <c r="J8">
        <f t="shared" si="2"/>
        <v>-22920.748415999999</v>
      </c>
      <c r="K8">
        <f t="shared" si="3"/>
        <v>2.388059701492554E-2</v>
      </c>
      <c r="L8" s="32">
        <v>1000</v>
      </c>
      <c r="M8" s="33">
        <v>-6.0000000000000006E-20</v>
      </c>
      <c r="N8" s="32">
        <v>9.8000000000000007</v>
      </c>
      <c r="O8" s="26">
        <f t="shared" si="4"/>
        <v>98684.003685906428</v>
      </c>
      <c r="P8" s="26">
        <f t="shared" si="5"/>
        <v>98.684003685906433</v>
      </c>
    </row>
    <row r="9" spans="1:16">
      <c r="A9" s="9" t="s">
        <v>23</v>
      </c>
      <c r="B9" s="3">
        <v>17</v>
      </c>
      <c r="C9" s="5">
        <v>23.4954</v>
      </c>
      <c r="D9" s="5">
        <v>25.432400000000001</v>
      </c>
      <c r="E9" s="5">
        <v>25.389199999999999</v>
      </c>
      <c r="F9" s="5">
        <v>-216.27</v>
      </c>
      <c r="G9" s="5">
        <v>24.9</v>
      </c>
      <c r="H9" s="5">
        <f t="shared" si="0"/>
        <v>1.8937999999999988</v>
      </c>
      <c r="I9">
        <f t="shared" si="1"/>
        <v>4.3200000000002348E-2</v>
      </c>
      <c r="J9">
        <f t="shared" si="2"/>
        <v>-22098.209075999999</v>
      </c>
      <c r="K9">
        <f t="shared" si="3"/>
        <v>2.2811278910129039E-2</v>
      </c>
      <c r="L9" s="32">
        <v>1000</v>
      </c>
      <c r="M9" s="33">
        <v>-6.0000000000000006E-20</v>
      </c>
      <c r="N9" s="32">
        <v>9.8000000000000007</v>
      </c>
      <c r="O9" s="26">
        <f t="shared" si="4"/>
        <v>93123.790141400212</v>
      </c>
      <c r="P9" s="26">
        <f t="shared" si="5"/>
        <v>93.123790141400207</v>
      </c>
    </row>
    <row r="10" spans="1:16">
      <c r="A10" s="9" t="s">
        <v>24</v>
      </c>
      <c r="B10" s="3">
        <v>16</v>
      </c>
      <c r="C10" s="5">
        <v>24.8752</v>
      </c>
      <c r="D10" s="5">
        <v>27.1389</v>
      </c>
      <c r="E10" s="5">
        <v>27.0855</v>
      </c>
      <c r="F10" s="5">
        <v>-193.8</v>
      </c>
      <c r="G10" s="5">
        <v>24.8</v>
      </c>
      <c r="H10" s="5">
        <f t="shared" si="0"/>
        <v>2.2103000000000002</v>
      </c>
      <c r="I10">
        <f t="shared" si="1"/>
        <v>5.3399999999999892E-2</v>
      </c>
      <c r="J10">
        <f t="shared" si="2"/>
        <v>-19802.25144</v>
      </c>
      <c r="K10">
        <f t="shared" si="3"/>
        <v>2.4159616341673025E-2</v>
      </c>
      <c r="L10" s="29">
        <v>1000</v>
      </c>
      <c r="M10" s="31">
        <v>-6.0000000000000006E-20</v>
      </c>
      <c r="N10" s="29">
        <v>9.8000000000000007</v>
      </c>
      <c r="O10" s="26">
        <f t="shared" si="4"/>
        <v>95086.794358828862</v>
      </c>
      <c r="P10" s="26">
        <f t="shared" si="5"/>
        <v>95.086794358828868</v>
      </c>
    </row>
    <row r="11" spans="1:16">
      <c r="A11" s="9" t="s">
        <v>25</v>
      </c>
      <c r="B11" s="3">
        <v>15</v>
      </c>
      <c r="C11" s="5">
        <v>23.411200000000001</v>
      </c>
      <c r="D11" s="5">
        <v>28.818300000000001</v>
      </c>
      <c r="E11" s="5">
        <v>28.697399999999998</v>
      </c>
      <c r="F11" s="5">
        <v>-199.66</v>
      </c>
      <c r="G11" s="5">
        <v>24.9</v>
      </c>
      <c r="H11" s="5">
        <f t="shared" si="0"/>
        <v>5.2861999999999973</v>
      </c>
      <c r="I11">
        <f t="shared" si="1"/>
        <v>0.12090000000000245</v>
      </c>
      <c r="J11">
        <f t="shared" si="2"/>
        <v>-20401.019207999998</v>
      </c>
      <c r="K11">
        <f t="shared" si="3"/>
        <v>2.2870871325338146E-2</v>
      </c>
      <c r="L11" s="32">
        <v>1000</v>
      </c>
      <c r="M11" s="33">
        <v>-6.0000000000000006E-20</v>
      </c>
      <c r="N11" s="32">
        <v>9.8000000000000007</v>
      </c>
      <c r="O11" s="26">
        <f t="shared" si="4"/>
        <v>90912.85886125073</v>
      </c>
      <c r="P11" s="26">
        <f t="shared" si="5"/>
        <v>90.912858861250726</v>
      </c>
    </row>
    <row r="12" spans="1:16">
      <c r="A12" s="9" t="s">
        <v>26</v>
      </c>
      <c r="B12" s="3">
        <v>12</v>
      </c>
      <c r="C12" s="5">
        <v>24.568200000000001</v>
      </c>
      <c r="D12" s="5">
        <v>30.651599999999998</v>
      </c>
      <c r="E12" s="5">
        <v>30.515000000000001</v>
      </c>
      <c r="F12" s="5">
        <v>-192.39</v>
      </c>
      <c r="G12" s="5">
        <v>24.9</v>
      </c>
      <c r="H12" s="5">
        <f t="shared" si="0"/>
        <v>5.9467999999999996</v>
      </c>
      <c r="I12">
        <f t="shared" si="1"/>
        <v>0.13659999999999783</v>
      </c>
      <c r="J12">
        <f t="shared" si="2"/>
        <v>-19658.179331999996</v>
      </c>
      <c r="K12">
        <f t="shared" si="3"/>
        <v>2.2970336987959548E-2</v>
      </c>
      <c r="L12" s="32">
        <v>1000</v>
      </c>
      <c r="M12" s="33">
        <v>-6.0000000000000006E-20</v>
      </c>
      <c r="N12" s="32">
        <v>9.8000000000000007</v>
      </c>
      <c r="O12" s="26">
        <f t="shared" si="4"/>
        <v>90186.274473467754</v>
      </c>
      <c r="P12" s="26">
        <f t="shared" si="5"/>
        <v>90.186274473467748</v>
      </c>
    </row>
    <row r="13" spans="1:16">
      <c r="A13" s="10" t="s">
        <v>27</v>
      </c>
      <c r="B13" s="11">
        <v>11</v>
      </c>
      <c r="C13" s="12">
        <v>24.688600000000001</v>
      </c>
      <c r="D13" s="5">
        <v>28.337800000000001</v>
      </c>
      <c r="E13" s="5">
        <v>28.2544</v>
      </c>
      <c r="F13" s="5">
        <v>-186.83</v>
      </c>
      <c r="G13" s="5">
        <v>24.9</v>
      </c>
      <c r="H13" s="5">
        <f t="shared" si="0"/>
        <v>3.5657999999999994</v>
      </c>
      <c r="I13">
        <f t="shared" si="1"/>
        <v>8.3400000000001029E-2</v>
      </c>
      <c r="J13">
        <f t="shared" si="2"/>
        <v>-19090.065203999999</v>
      </c>
      <c r="K13">
        <f t="shared" si="3"/>
        <v>2.3388860844691526E-2</v>
      </c>
      <c r="L13" s="32">
        <v>1000</v>
      </c>
      <c r="M13" s="33">
        <v>-6.0000000000000006E-20</v>
      </c>
      <c r="N13" s="32">
        <v>9.8000000000000007</v>
      </c>
      <c r="O13" s="26">
        <f t="shared" si="4"/>
        <v>90936.211425211513</v>
      </c>
      <c r="P13" s="26">
        <f t="shared" si="5"/>
        <v>90.936211425211511</v>
      </c>
    </row>
    <row r="14" spans="1:16">
      <c r="A14" s="9" t="s">
        <v>28</v>
      </c>
      <c r="B14" s="3">
        <v>22</v>
      </c>
      <c r="C14" s="5">
        <v>24.5749</v>
      </c>
      <c r="D14" s="5">
        <v>27.5749</v>
      </c>
      <c r="E14" s="5">
        <v>27.508400000000002</v>
      </c>
      <c r="F14" s="5">
        <v>-135.31</v>
      </c>
      <c r="G14" s="5">
        <v>24.9</v>
      </c>
      <c r="H14" s="5">
        <f t="shared" si="0"/>
        <v>2.9335000000000022</v>
      </c>
      <c r="I14">
        <f t="shared" si="1"/>
        <v>6.6499999999997783E-2</v>
      </c>
      <c r="J14">
        <f t="shared" si="2"/>
        <v>-13825.813427999999</v>
      </c>
      <c r="K14">
        <f t="shared" si="3"/>
        <v>2.2669166524628508E-2</v>
      </c>
      <c r="L14" s="29">
        <v>1000</v>
      </c>
      <c r="M14" s="31">
        <v>-6.0000000000000006E-20</v>
      </c>
      <c r="N14" s="29">
        <v>9.8000000000000007</v>
      </c>
      <c r="O14" s="26">
        <f t="shared" si="4"/>
        <v>79151.247876355221</v>
      </c>
      <c r="P14" s="26">
        <f t="shared" si="5"/>
        <v>79.151247876355214</v>
      </c>
    </row>
    <row r="15" spans="1:16">
      <c r="A15" s="9" t="s">
        <v>29</v>
      </c>
      <c r="B15" s="3">
        <v>20</v>
      </c>
      <c r="C15" s="5">
        <v>22.686499999999999</v>
      </c>
      <c r="D15" s="5">
        <v>26.567699999999999</v>
      </c>
      <c r="E15" s="5">
        <v>26.476199999999999</v>
      </c>
      <c r="F15" s="5">
        <v>-143.12</v>
      </c>
      <c r="G15" s="5">
        <v>24.9</v>
      </c>
      <c r="H15" s="5">
        <f t="shared" si="0"/>
        <v>3.7896999999999998</v>
      </c>
      <c r="I15">
        <f t="shared" si="1"/>
        <v>9.1499999999999915E-2</v>
      </c>
      <c r="J15">
        <f t="shared" si="2"/>
        <v>-14623.829856</v>
      </c>
      <c r="K15">
        <f t="shared" si="3"/>
        <v>2.4144391376626096E-2</v>
      </c>
      <c r="L15" s="32">
        <v>1000</v>
      </c>
      <c r="M15" s="33">
        <v>-6.0000000000000006E-20</v>
      </c>
      <c r="N15" s="32">
        <v>9.8000000000000007</v>
      </c>
      <c r="O15" s="26">
        <f t="shared" si="4"/>
        <v>85893.827093065702</v>
      </c>
      <c r="P15" s="26">
        <f t="shared" si="5"/>
        <v>85.893827093065696</v>
      </c>
    </row>
    <row r="16" spans="1:16">
      <c r="A16" s="9" t="s">
        <v>30</v>
      </c>
      <c r="B16" s="3">
        <v>27</v>
      </c>
      <c r="C16" s="5">
        <v>24.6021</v>
      </c>
      <c r="D16" s="5">
        <v>27.46</v>
      </c>
      <c r="E16" s="5">
        <v>27.3947</v>
      </c>
      <c r="F16" s="5">
        <v>-141.97999999999999</v>
      </c>
      <c r="G16" s="5">
        <v>24.9</v>
      </c>
      <c r="H16" s="5">
        <f t="shared" si="0"/>
        <v>2.7926000000000002</v>
      </c>
      <c r="I16">
        <f t="shared" si="1"/>
        <v>6.530000000000058E-2</v>
      </c>
      <c r="J16">
        <f t="shared" si="2"/>
        <v>-14507.346023999999</v>
      </c>
      <c r="K16">
        <f t="shared" si="3"/>
        <v>2.3383227100193575E-2</v>
      </c>
      <c r="L16" s="32">
        <v>1000</v>
      </c>
      <c r="M16" s="33">
        <v>-6.0000000000000006E-20</v>
      </c>
      <c r="N16" s="32">
        <v>9.8000000000000007</v>
      </c>
      <c r="O16" s="26">
        <f t="shared" si="4"/>
        <v>82964.522950921208</v>
      </c>
      <c r="P16" s="26">
        <f t="shared" si="5"/>
        <v>82.964522950921207</v>
      </c>
    </row>
    <row r="17" spans="1:16">
      <c r="A17" s="9" t="s">
        <v>31</v>
      </c>
      <c r="B17" s="3">
        <v>10</v>
      </c>
      <c r="C17" s="5">
        <v>24.603899999999999</v>
      </c>
      <c r="D17" s="5">
        <v>28.795100000000001</v>
      </c>
      <c r="E17" s="5">
        <v>28.717099999999999</v>
      </c>
      <c r="F17" s="5">
        <v>-181.28</v>
      </c>
      <c r="G17" s="5">
        <v>24.9</v>
      </c>
      <c r="H17" s="5">
        <f t="shared" si="0"/>
        <v>4.1131999999999991</v>
      </c>
      <c r="I17">
        <f t="shared" si="1"/>
        <v>7.8000000000002956E-2</v>
      </c>
      <c r="J17">
        <f t="shared" si="2"/>
        <v>-18522.972863999999</v>
      </c>
      <c r="K17">
        <f t="shared" si="3"/>
        <v>1.8963337547409066E-2</v>
      </c>
      <c r="L17" s="32">
        <v>1000</v>
      </c>
      <c r="M17" s="33">
        <v>-6.0000000000000006E-20</v>
      </c>
      <c r="N17" s="32">
        <v>9.8000000000000007</v>
      </c>
      <c r="O17" s="26">
        <f t="shared" si="4"/>
        <v>72992.289908405248</v>
      </c>
      <c r="P17" s="26">
        <f t="shared" si="5"/>
        <v>72.992289908405255</v>
      </c>
    </row>
    <row r="18" spans="1:16">
      <c r="A18" s="9" t="s">
        <v>32</v>
      </c>
      <c r="B18" s="3">
        <v>19</v>
      </c>
      <c r="C18" s="5">
        <v>24.7379</v>
      </c>
      <c r="D18" s="5">
        <v>28.300799999999999</v>
      </c>
      <c r="E18" s="5">
        <v>28.240500000000001</v>
      </c>
      <c r="F18" s="5">
        <v>-169.02</v>
      </c>
      <c r="G18" s="5">
        <v>24.9</v>
      </c>
      <c r="H18" s="5">
        <f t="shared" si="0"/>
        <v>3.502600000000001</v>
      </c>
      <c r="I18">
        <f t="shared" si="1"/>
        <v>6.0299999999998022E-2</v>
      </c>
      <c r="J18">
        <f t="shared" si="2"/>
        <v>-17270.260775999999</v>
      </c>
      <c r="K18">
        <f t="shared" si="3"/>
        <v>1.7215782561525155E-2</v>
      </c>
      <c r="L18" s="29">
        <v>1000</v>
      </c>
      <c r="M18" s="31">
        <v>-6.0000000000000006E-20</v>
      </c>
      <c r="N18" s="29">
        <v>9.8000000000000007</v>
      </c>
      <c r="O18" s="26">
        <f t="shared" si="4"/>
        <v>64736.872845528058</v>
      </c>
      <c r="P18" s="26">
        <f t="shared" si="5"/>
        <v>64.736872845528055</v>
      </c>
    </row>
    <row r="19" spans="1:16">
      <c r="A19" s="10" t="s">
        <v>33</v>
      </c>
      <c r="B19" s="11">
        <v>25</v>
      </c>
      <c r="C19" s="12">
        <v>25.029800000000002</v>
      </c>
      <c r="D19" s="5">
        <v>28.730899999999998</v>
      </c>
      <c r="E19" s="5">
        <v>28.667200000000001</v>
      </c>
      <c r="F19" s="5">
        <v>-151.63999999999999</v>
      </c>
      <c r="G19" s="5">
        <v>24.9</v>
      </c>
      <c r="H19" s="5">
        <f t="shared" si="0"/>
        <v>3.6373999999999995</v>
      </c>
      <c r="I19">
        <f t="shared" si="1"/>
        <v>6.3699999999997203E-2</v>
      </c>
      <c r="J19">
        <f t="shared" si="2"/>
        <v>-15494.393231999999</v>
      </c>
      <c r="K19">
        <f t="shared" si="3"/>
        <v>1.7512508934952771E-2</v>
      </c>
      <c r="L19" s="32">
        <v>1000</v>
      </c>
      <c r="M19" s="33">
        <v>-6.0000000000000006E-20</v>
      </c>
      <c r="N19" s="32">
        <v>9.8000000000000007</v>
      </c>
      <c r="O19" s="26">
        <f t="shared" si="4"/>
        <v>63513.377852398735</v>
      </c>
      <c r="P19" s="26">
        <f t="shared" si="5"/>
        <v>63.513377852398733</v>
      </c>
    </row>
    <row r="20" spans="1:16">
      <c r="A20" s="13" t="s">
        <v>34</v>
      </c>
      <c r="B20" s="3">
        <v>24</v>
      </c>
      <c r="C20" s="5">
        <v>24.631900000000002</v>
      </c>
      <c r="D20" s="5">
        <v>27.587900000000001</v>
      </c>
      <c r="E20" s="5">
        <v>27.534700000000001</v>
      </c>
      <c r="F20" s="5">
        <v>-121.81</v>
      </c>
      <c r="G20" s="5">
        <v>24.9</v>
      </c>
      <c r="H20" s="5">
        <f t="shared" si="0"/>
        <v>2.9027999999999992</v>
      </c>
      <c r="I20">
        <f t="shared" si="1"/>
        <v>5.3200000000000358E-2</v>
      </c>
      <c r="J20">
        <f t="shared" si="2"/>
        <v>-12446.399627999999</v>
      </c>
      <c r="K20">
        <f t="shared" si="3"/>
        <v>1.832713242386674E-2</v>
      </c>
      <c r="L20" s="32">
        <v>1000</v>
      </c>
      <c r="M20" s="33">
        <v>-6.0000000000000006E-20</v>
      </c>
      <c r="N20" s="32">
        <v>9.8000000000000007</v>
      </c>
      <c r="O20" s="26">
        <f t="shared" si="4"/>
        <v>61787.565103301749</v>
      </c>
      <c r="P20" s="26">
        <f t="shared" si="5"/>
        <v>61.787565103301752</v>
      </c>
    </row>
    <row r="21" spans="1:16">
      <c r="A21" s="13" t="s">
        <v>35</v>
      </c>
      <c r="B21" s="3">
        <v>12</v>
      </c>
      <c r="C21" s="5">
        <v>24.570599999999999</v>
      </c>
      <c r="D21" s="5">
        <v>27.430399999999999</v>
      </c>
      <c r="E21" s="5">
        <v>27.378900000000002</v>
      </c>
      <c r="F21" s="5">
        <v>-119.57</v>
      </c>
      <c r="G21" s="5">
        <v>24.9</v>
      </c>
      <c r="H21" s="5">
        <f t="shared" si="0"/>
        <v>2.8083000000000027</v>
      </c>
      <c r="I21">
        <f t="shared" si="1"/>
        <v>5.1499999999997215E-2</v>
      </c>
      <c r="J21">
        <f t="shared" si="2"/>
        <v>-12217.519115999999</v>
      </c>
      <c r="K21">
        <f t="shared" si="3"/>
        <v>1.8338496599365154E-2</v>
      </c>
      <c r="L21" s="32">
        <v>1000</v>
      </c>
      <c r="M21" s="33">
        <v>-6.0000000000000006E-20</v>
      </c>
      <c r="N21" s="32">
        <v>9.8000000000000007</v>
      </c>
      <c r="O21" s="26">
        <f t="shared" si="4"/>
        <v>61444.55278324621</v>
      </c>
      <c r="P21" s="26">
        <f t="shared" si="5"/>
        <v>61.444552783246209</v>
      </c>
    </row>
    <row r="22" spans="1:16">
      <c r="A22" s="13" t="s">
        <v>36</v>
      </c>
      <c r="B22" s="3">
        <v>26</v>
      </c>
      <c r="C22" s="5">
        <v>24.719100000000001</v>
      </c>
      <c r="D22" s="5">
        <v>27.674299999999999</v>
      </c>
      <c r="E22" s="5">
        <v>27.613700000000001</v>
      </c>
      <c r="F22" s="5">
        <v>-123.94</v>
      </c>
      <c r="G22" s="5">
        <v>24.9</v>
      </c>
      <c r="H22" s="5">
        <f t="shared" si="0"/>
        <v>2.8946000000000005</v>
      </c>
      <c r="I22">
        <f t="shared" si="1"/>
        <v>6.0599999999997323E-2</v>
      </c>
      <c r="J22">
        <f t="shared" si="2"/>
        <v>-12664.040471999999</v>
      </c>
      <c r="K22">
        <f t="shared" si="3"/>
        <v>2.0935535134387243E-2</v>
      </c>
      <c r="L22" s="29">
        <v>1000</v>
      </c>
      <c r="M22" s="31">
        <v>-6.0000000000000006E-20</v>
      </c>
      <c r="N22" s="29">
        <v>9.8000000000000007</v>
      </c>
      <c r="O22" s="26">
        <f t="shared" si="4"/>
        <v>70990.485415753501</v>
      </c>
      <c r="P22" s="26">
        <f t="shared" si="5"/>
        <v>70.990485415753497</v>
      </c>
    </row>
    <row r="23" spans="1:16">
      <c r="A23" s="13" t="s">
        <v>37</v>
      </c>
      <c r="B23" s="3">
        <v>2</v>
      </c>
      <c r="C23" s="5">
        <v>24.427900000000001</v>
      </c>
      <c r="D23" s="5">
        <v>27.1282</v>
      </c>
      <c r="E23" s="5">
        <v>27.095400000000001</v>
      </c>
      <c r="F23" s="5">
        <v>-124.98</v>
      </c>
      <c r="G23" s="5">
        <v>24.9</v>
      </c>
      <c r="H23" s="5">
        <f t="shared" si="0"/>
        <v>2.6675000000000004</v>
      </c>
      <c r="I23">
        <f t="shared" si="1"/>
        <v>3.2799999999998164E-2</v>
      </c>
      <c r="J23">
        <f t="shared" si="2"/>
        <v>-12770.306424</v>
      </c>
      <c r="K23">
        <f t="shared" si="3"/>
        <v>1.2296157450795936E-2</v>
      </c>
      <c r="L23" s="32">
        <v>1000</v>
      </c>
      <c r="M23" s="33">
        <v>-6.0000000000000006E-20</v>
      </c>
      <c r="N23" s="32">
        <v>9.8000000000000007</v>
      </c>
      <c r="O23" s="26">
        <f t="shared" si="4"/>
        <v>41811.444440407802</v>
      </c>
      <c r="P23" s="26">
        <f t="shared" si="5"/>
        <v>41.811444440407804</v>
      </c>
    </row>
    <row r="24" spans="1:16">
      <c r="A24" s="13" t="s">
        <v>38</v>
      </c>
      <c r="B24" s="3">
        <v>13</v>
      </c>
      <c r="C24" s="5">
        <v>23.503</v>
      </c>
      <c r="D24" s="5">
        <v>26.927199999999999</v>
      </c>
      <c r="E24" s="5">
        <v>26.887799999999999</v>
      </c>
      <c r="F24" s="5">
        <v>-120.26</v>
      </c>
      <c r="G24" s="5">
        <v>24.9</v>
      </c>
      <c r="H24" s="5">
        <f t="shared" si="0"/>
        <v>3.3847999999999985</v>
      </c>
      <c r="I24">
        <f t="shared" si="1"/>
        <v>3.9400000000000546E-2</v>
      </c>
      <c r="J24">
        <f t="shared" si="2"/>
        <v>-12288.022488000001</v>
      </c>
      <c r="K24">
        <f t="shared" si="3"/>
        <v>1.1640274166863793E-2</v>
      </c>
      <c r="L24" s="32">
        <v>1000</v>
      </c>
      <c r="M24" s="33">
        <v>-6.0000000000000006E-20</v>
      </c>
      <c r="N24" s="32">
        <v>9.8000000000000007</v>
      </c>
      <c r="O24" s="26">
        <f t="shared" si="4"/>
        <v>39076.518011589236</v>
      </c>
      <c r="P24" s="26">
        <f t="shared" si="5"/>
        <v>39.076518011589236</v>
      </c>
    </row>
    <row r="25" spans="1:16">
      <c r="A25" s="14" t="s">
        <v>39</v>
      </c>
      <c r="B25" s="11">
        <v>19</v>
      </c>
      <c r="C25" s="12">
        <v>24.739000000000001</v>
      </c>
      <c r="D25" s="5">
        <v>27.898800000000001</v>
      </c>
      <c r="E25" s="5">
        <v>27.8476</v>
      </c>
      <c r="F25" s="5">
        <v>-123.73</v>
      </c>
      <c r="G25" s="5">
        <v>24.9</v>
      </c>
      <c r="H25" s="5">
        <f t="shared" si="0"/>
        <v>3.1085999999999991</v>
      </c>
      <c r="I25">
        <f t="shared" si="1"/>
        <v>5.1200000000001467E-2</v>
      </c>
      <c r="J25">
        <f t="shared" si="2"/>
        <v>-12642.582924</v>
      </c>
      <c r="K25">
        <f t="shared" si="3"/>
        <v>1.6470436852602934E-2</v>
      </c>
      <c r="L25" s="32">
        <v>1000</v>
      </c>
      <c r="M25" s="33">
        <v>-6.0000000000000006E-20</v>
      </c>
      <c r="N25" s="32">
        <v>9.8000000000000007</v>
      </c>
      <c r="O25" s="26">
        <f t="shared" si="4"/>
        <v>55818.184228006678</v>
      </c>
      <c r="P25" s="26">
        <f t="shared" si="5"/>
        <v>55.818184228006679</v>
      </c>
    </row>
    <row r="26" spans="1:16">
      <c r="A26" s="13" t="s">
        <v>40</v>
      </c>
      <c r="B26" s="3">
        <v>10</v>
      </c>
      <c r="C26" s="5">
        <v>24.605599999999999</v>
      </c>
      <c r="D26" s="5">
        <v>26.526599999999998</v>
      </c>
      <c r="E26" s="5">
        <v>26.471599999999999</v>
      </c>
      <c r="F26" s="5">
        <v>-130.31</v>
      </c>
      <c r="G26" s="5">
        <v>24.9</v>
      </c>
      <c r="H26" s="5">
        <f t="shared" si="0"/>
        <v>1.8659999999999997</v>
      </c>
      <c r="I26">
        <f t="shared" si="1"/>
        <v>5.4999999999999716E-2</v>
      </c>
      <c r="J26">
        <f t="shared" si="2"/>
        <v>-13314.919427999999</v>
      </c>
      <c r="K26">
        <f t="shared" si="3"/>
        <v>2.9474812433011643E-2</v>
      </c>
      <c r="L26" s="29">
        <v>1000</v>
      </c>
      <c r="M26" s="31">
        <v>-6.0000000000000006E-20</v>
      </c>
      <c r="N26" s="29">
        <v>9.8000000000000007</v>
      </c>
      <c r="O26" s="26">
        <f t="shared" si="4"/>
        <v>101630.14545065488</v>
      </c>
      <c r="P26" s="26">
        <f t="shared" si="5"/>
        <v>101.63014545065488</v>
      </c>
    </row>
    <row r="27" spans="1:16">
      <c r="A27" s="13" t="s">
        <v>41</v>
      </c>
      <c r="B27" s="3">
        <v>29</v>
      </c>
      <c r="C27" s="5">
        <v>24.744199999999999</v>
      </c>
      <c r="D27" s="5">
        <v>27.153400000000001</v>
      </c>
      <c r="E27" s="5">
        <v>27.093</v>
      </c>
      <c r="F27" s="5">
        <v>-128.52000000000001</v>
      </c>
      <c r="G27" s="5">
        <v>24.9</v>
      </c>
      <c r="H27" s="5">
        <f t="shared" si="0"/>
        <v>2.3488000000000007</v>
      </c>
      <c r="I27">
        <f t="shared" si="1"/>
        <v>6.0400000000001342E-2</v>
      </c>
      <c r="J27">
        <f t="shared" si="2"/>
        <v>-13132.019376</v>
      </c>
      <c r="K27">
        <f t="shared" si="3"/>
        <v>2.5715258855586395E-2</v>
      </c>
      <c r="L27" s="32">
        <v>1000</v>
      </c>
      <c r="M27" s="33">
        <v>-6.0000000000000006E-20</v>
      </c>
      <c r="N27" s="32">
        <v>9.8000000000000007</v>
      </c>
      <c r="O27" s="26">
        <f t="shared" si="4"/>
        <v>88259.213860909833</v>
      </c>
      <c r="P27" s="26">
        <f t="shared" si="5"/>
        <v>88.259213860909838</v>
      </c>
    </row>
    <row r="28" spans="1:16">
      <c r="A28" s="15" t="s">
        <v>42</v>
      </c>
      <c r="B28" s="3">
        <v>14</v>
      </c>
      <c r="C28" s="5">
        <v>23.539300000000001</v>
      </c>
      <c r="D28" s="5">
        <v>26.036999999999999</v>
      </c>
      <c r="E28" s="5">
        <v>25.967700000000001</v>
      </c>
      <c r="F28" s="5">
        <v>-130.18</v>
      </c>
      <c r="G28" s="5">
        <v>24.9</v>
      </c>
      <c r="H28" s="5">
        <f t="shared" si="0"/>
        <v>2.4283999999999999</v>
      </c>
      <c r="I28">
        <f t="shared" si="1"/>
        <v>6.9299999999998363E-2</v>
      </c>
      <c r="J28">
        <f t="shared" si="2"/>
        <v>-13301.636184000001</v>
      </c>
      <c r="K28">
        <f t="shared" si="3"/>
        <v>2.8537308515894567E-2</v>
      </c>
      <c r="L28" s="32">
        <v>1000</v>
      </c>
      <c r="M28" s="33">
        <v>-6.0000000000000006E-20</v>
      </c>
      <c r="N28" s="32">
        <v>9.8000000000000007</v>
      </c>
      <c r="O28" s="26">
        <f t="shared" si="4"/>
        <v>98364.868326300813</v>
      </c>
      <c r="P28" s="26">
        <f t="shared" si="5"/>
        <v>98.364868326300808</v>
      </c>
    </row>
    <row r="29" spans="1:16">
      <c r="A29" s="13" t="s">
        <v>43</v>
      </c>
      <c r="B29" s="3">
        <v>21</v>
      </c>
      <c r="C29" s="5">
        <v>24.228000000000002</v>
      </c>
      <c r="D29" s="5">
        <v>26.906199999999998</v>
      </c>
      <c r="E29" s="5">
        <v>26.8477</v>
      </c>
      <c r="F29" s="5">
        <v>-128.97999999999999</v>
      </c>
      <c r="G29" s="5">
        <v>24.9</v>
      </c>
      <c r="H29" s="5">
        <f t="shared" si="0"/>
        <v>2.6196999999999981</v>
      </c>
      <c r="I29">
        <f t="shared" si="1"/>
        <v>5.8499999999998664E-2</v>
      </c>
      <c r="J29">
        <f t="shared" si="2"/>
        <v>-13179.021623999999</v>
      </c>
      <c r="K29">
        <f t="shared" si="3"/>
        <v>2.2330801236782345E-2</v>
      </c>
      <c r="L29" s="32">
        <v>1000</v>
      </c>
      <c r="M29" s="33">
        <v>-6.0000000000000006E-20</v>
      </c>
      <c r="N29" s="32">
        <v>9.8000000000000007</v>
      </c>
      <c r="O29" s="26">
        <f t="shared" si="4"/>
        <v>76734.502007227115</v>
      </c>
      <c r="P29" s="26">
        <f t="shared" si="5"/>
        <v>76.734502007227121</v>
      </c>
    </row>
    <row r="30" spans="1:16">
      <c r="A30" s="13" t="s">
        <v>44</v>
      </c>
      <c r="B30" s="3">
        <v>7</v>
      </c>
      <c r="C30" s="5">
        <v>24.7102</v>
      </c>
      <c r="D30" s="5">
        <v>28.088000000000001</v>
      </c>
      <c r="E30" s="5">
        <v>28.011199999999999</v>
      </c>
      <c r="F30" s="5">
        <v>-129.36000000000001</v>
      </c>
      <c r="G30" s="5">
        <v>24.9</v>
      </c>
      <c r="H30" s="5">
        <f t="shared" si="0"/>
        <v>3.3009999999999984</v>
      </c>
      <c r="I30">
        <f t="shared" si="1"/>
        <v>7.68000000000022E-2</v>
      </c>
      <c r="J30">
        <f t="shared" si="2"/>
        <v>-13217.849568000001</v>
      </c>
      <c r="K30">
        <f t="shared" si="3"/>
        <v>2.3265677067555963E-2</v>
      </c>
      <c r="L30" s="29">
        <v>1000</v>
      </c>
      <c r="M30" s="31">
        <v>-6.0000000000000006E-20</v>
      </c>
      <c r="N30" s="29">
        <v>9.8000000000000007</v>
      </c>
      <c r="O30" s="26">
        <f t="shared" si="4"/>
        <v>80025.417170107554</v>
      </c>
      <c r="P30" s="26">
        <f t="shared" si="5"/>
        <v>80.025417170107559</v>
      </c>
    </row>
    <row r="31" spans="1:16">
      <c r="A31" s="14" t="s">
        <v>45</v>
      </c>
      <c r="B31" s="11">
        <v>9</v>
      </c>
      <c r="C31" s="12">
        <v>24.539899999999999</v>
      </c>
      <c r="D31" s="5">
        <v>27.7484</v>
      </c>
      <c r="E31" s="5">
        <v>27.671500000000002</v>
      </c>
      <c r="F31" s="5">
        <v>-130.33000000000001</v>
      </c>
      <c r="G31" s="5">
        <v>24.9</v>
      </c>
      <c r="H31" s="5">
        <f t="shared" si="0"/>
        <v>3.1316000000000024</v>
      </c>
      <c r="I31">
        <f t="shared" si="1"/>
        <v>7.6899999999998414E-2</v>
      </c>
      <c r="J31">
        <f t="shared" si="2"/>
        <v>-13316.963004000001</v>
      </c>
      <c r="K31">
        <f t="shared" si="3"/>
        <v>2.4556137437730986E-2</v>
      </c>
      <c r="L31" s="32">
        <v>1000</v>
      </c>
      <c r="M31" s="33">
        <v>-6.0000000000000006E-20</v>
      </c>
      <c r="N31" s="32">
        <v>9.8000000000000007</v>
      </c>
      <c r="O31" s="26">
        <f t="shared" si="4"/>
        <v>84674.720014480845</v>
      </c>
      <c r="P31" s="26">
        <f t="shared" si="5"/>
        <v>84.67472001448084</v>
      </c>
    </row>
    <row r="32" spans="1:16">
      <c r="A32" s="13" t="s">
        <v>46</v>
      </c>
      <c r="B32" s="3">
        <v>24</v>
      </c>
      <c r="C32" s="5">
        <v>24.631499999999999</v>
      </c>
      <c r="D32" s="5">
        <v>27.935099999999998</v>
      </c>
      <c r="E32" s="5">
        <v>27.873799999999999</v>
      </c>
      <c r="F32" s="5">
        <v>-210.44</v>
      </c>
      <c r="G32" s="5">
        <v>24.9</v>
      </c>
      <c r="H32" s="5">
        <f t="shared" si="0"/>
        <v>3.2423000000000002</v>
      </c>
      <c r="I32">
        <f t="shared" si="1"/>
        <v>6.1299999999999244E-2</v>
      </c>
      <c r="J32">
        <f t="shared" si="2"/>
        <v>-21502.506672</v>
      </c>
      <c r="K32">
        <f t="shared" si="3"/>
        <v>1.8906331924867913E-2</v>
      </c>
      <c r="L32" s="32">
        <v>1000</v>
      </c>
      <c r="M32" s="33">
        <v>-6.0000000000000006E-20</v>
      </c>
      <c r="N32" s="32">
        <v>9.8000000000000007</v>
      </c>
      <c r="O32" s="26">
        <f t="shared" si="4"/>
        <v>76482.538039810213</v>
      </c>
      <c r="P32" s="26">
        <f t="shared" si="5"/>
        <v>76.482538039810208</v>
      </c>
    </row>
    <row r="33" spans="1:16">
      <c r="A33" s="13" t="s">
        <v>47</v>
      </c>
      <c r="B33" s="3">
        <v>23</v>
      </c>
      <c r="C33" s="5">
        <v>25.0169</v>
      </c>
      <c r="D33" s="5">
        <v>28.863900000000001</v>
      </c>
      <c r="E33" s="5">
        <v>28.787700000000001</v>
      </c>
      <c r="F33" s="5">
        <v>-210.49</v>
      </c>
      <c r="G33" s="5">
        <v>24.9</v>
      </c>
      <c r="H33" s="5">
        <f t="shared" si="0"/>
        <v>3.7708000000000013</v>
      </c>
      <c r="I33">
        <f t="shared" si="1"/>
        <v>7.6200000000000045E-2</v>
      </c>
      <c r="J33">
        <f t="shared" si="2"/>
        <v>-21507.615612000001</v>
      </c>
      <c r="K33">
        <f t="shared" si="3"/>
        <v>2.0207913440118814E-2</v>
      </c>
      <c r="L33" s="32">
        <v>1000</v>
      </c>
      <c r="M33" s="33">
        <v>-6.0000000000000006E-20</v>
      </c>
      <c r="N33" s="32">
        <v>9.8000000000000007</v>
      </c>
      <c r="O33" s="26">
        <f t="shared" si="4"/>
        <v>81754.351466224936</v>
      </c>
      <c r="P33" s="26">
        <f t="shared" si="5"/>
        <v>81.754351466224932</v>
      </c>
    </row>
    <row r="34" spans="1:16">
      <c r="A34" s="13" t="s">
        <v>48</v>
      </c>
      <c r="B34" s="3">
        <v>8</v>
      </c>
      <c r="C34" s="5">
        <v>24.7258</v>
      </c>
      <c r="D34" s="5">
        <v>28.439599999999999</v>
      </c>
      <c r="E34" s="5">
        <v>28.369399999999999</v>
      </c>
      <c r="F34" s="5">
        <v>-217.68</v>
      </c>
      <c r="G34" s="5">
        <v>24.9</v>
      </c>
      <c r="H34" s="5">
        <f t="shared" si="0"/>
        <v>3.6435999999999993</v>
      </c>
      <c r="I34">
        <f t="shared" si="1"/>
        <v>7.0199999999999818E-2</v>
      </c>
      <c r="J34">
        <f t="shared" si="2"/>
        <v>-22242.281183999999</v>
      </c>
      <c r="K34">
        <f t="shared" si="3"/>
        <v>1.9266659347897636E-2</v>
      </c>
      <c r="L34" s="29">
        <v>1000</v>
      </c>
      <c r="M34" s="31">
        <v>-6.0000000000000006E-20</v>
      </c>
      <c r="N34" s="29">
        <v>9.8000000000000007</v>
      </c>
      <c r="O34" s="26">
        <f t="shared" si="4"/>
        <v>78823.946879116687</v>
      </c>
      <c r="P34" s="26">
        <f t="shared" si="5"/>
        <v>78.82394687911669</v>
      </c>
    </row>
    <row r="35" spans="1:16">
      <c r="A35" s="13" t="s">
        <v>49</v>
      </c>
      <c r="B35" s="3">
        <v>26</v>
      </c>
      <c r="C35" s="5">
        <v>24.714400000000001</v>
      </c>
      <c r="D35" s="5">
        <v>29.032800000000002</v>
      </c>
      <c r="E35" s="5">
        <v>28.959399999999999</v>
      </c>
      <c r="F35" s="5">
        <v>-212.05</v>
      </c>
      <c r="G35" s="5">
        <v>24.9</v>
      </c>
      <c r="H35" s="5">
        <f t="shared" si="0"/>
        <v>4.2449999999999974</v>
      </c>
      <c r="I35">
        <f t="shared" si="1"/>
        <v>7.3400000000003018E-2</v>
      </c>
      <c r="J35">
        <f t="shared" si="2"/>
        <v>-21667.01454</v>
      </c>
      <c r="K35">
        <f t="shared" si="3"/>
        <v>1.7290930506478931E-2</v>
      </c>
      <c r="L35" s="32">
        <v>1000</v>
      </c>
      <c r="M35" s="33">
        <v>-6.0000000000000006E-20</v>
      </c>
      <c r="N35" s="32">
        <v>9.8000000000000007</v>
      </c>
      <c r="O35" s="26">
        <f t="shared" si="4"/>
        <v>70125.618770906542</v>
      </c>
      <c r="P35" s="26">
        <f t="shared" si="5"/>
        <v>70.125618770906541</v>
      </c>
    </row>
    <row r="36" spans="1:16">
      <c r="A36" s="13" t="s">
        <v>50</v>
      </c>
      <c r="B36" s="3">
        <v>7</v>
      </c>
      <c r="C36" s="5">
        <v>24.7073</v>
      </c>
      <c r="D36" s="5">
        <v>29.445</v>
      </c>
      <c r="E36" s="5">
        <v>29.366800000000001</v>
      </c>
      <c r="F36" s="5">
        <v>-221.39</v>
      </c>
      <c r="G36" s="5">
        <v>24.9</v>
      </c>
      <c r="H36" s="5">
        <f t="shared" si="0"/>
        <v>4.6595000000000013</v>
      </c>
      <c r="I36">
        <f t="shared" si="1"/>
        <v>7.8199999999998937E-2</v>
      </c>
      <c r="J36">
        <f t="shared" si="2"/>
        <v>-22621.364531999996</v>
      </c>
      <c r="K36">
        <f t="shared" si="3"/>
        <v>1.6782916621954913E-2</v>
      </c>
      <c r="L36" s="32">
        <v>1000</v>
      </c>
      <c r="M36" s="33">
        <v>-6.0000000000000006E-20</v>
      </c>
      <c r="N36" s="32">
        <v>9.8000000000000007</v>
      </c>
      <c r="O36" s="26">
        <f t="shared" si="4"/>
        <v>69050.318456928566</v>
      </c>
      <c r="P36" s="26">
        <f t="shared" si="5"/>
        <v>69.050318456928565</v>
      </c>
    </row>
    <row r="37" spans="1:16">
      <c r="A37" s="13" t="s">
        <v>51</v>
      </c>
      <c r="B37" s="11">
        <v>21</v>
      </c>
      <c r="C37" s="12">
        <v>24.225200000000001</v>
      </c>
      <c r="D37" s="5">
        <v>27.943899999999999</v>
      </c>
      <c r="E37" s="5">
        <v>27.885999999999999</v>
      </c>
      <c r="F37" s="5">
        <v>-219.51</v>
      </c>
      <c r="G37" s="5">
        <v>24.9</v>
      </c>
      <c r="H37" s="5">
        <f t="shared" si="0"/>
        <v>3.6607999999999983</v>
      </c>
      <c r="I37">
        <f t="shared" si="1"/>
        <v>5.7900000000000063E-2</v>
      </c>
      <c r="J37">
        <f t="shared" si="2"/>
        <v>-22429.268387999997</v>
      </c>
      <c r="K37">
        <f t="shared" si="3"/>
        <v>1.581621503496506E-2</v>
      </c>
      <c r="L37" s="32">
        <v>1000</v>
      </c>
      <c r="M37" s="33">
        <v>-6.0000000000000006E-20</v>
      </c>
      <c r="N37" s="32">
        <v>9.8000000000000007</v>
      </c>
      <c r="O37" s="26">
        <f t="shared" si="4"/>
        <v>64888.277593818115</v>
      </c>
      <c r="P37" s="26">
        <f t="shared" si="5"/>
        <v>64.888277593818117</v>
      </c>
    </row>
    <row r="38" spans="1:16"/>
    <row r="39" spans="1:16"/>
  </sheetData>
  <conditionalFormatting sqref="A38:A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CCE70-EA32-4988-8CF4-359BEFAD776B}">
  <dimension ref="A1:D6"/>
  <sheetViews>
    <sheetView workbookViewId="0">
      <selection activeCell="F10" sqref="F10"/>
    </sheetView>
  </sheetViews>
  <sheetFormatPr defaultRowHeight="15"/>
  <cols>
    <col min="2" max="2" width="20.7109375" customWidth="1"/>
    <col min="3" max="3" width="11.140625" customWidth="1"/>
  </cols>
  <sheetData>
    <row r="1" spans="1:4" ht="43.5">
      <c r="A1" s="22" t="s">
        <v>52</v>
      </c>
      <c r="B1" s="22" t="s">
        <v>53</v>
      </c>
      <c r="C1" s="23" t="s">
        <v>54</v>
      </c>
      <c r="D1" s="23" t="s">
        <v>55</v>
      </c>
    </row>
    <row r="2" spans="1:4">
      <c r="A2" s="29" t="s">
        <v>56</v>
      </c>
      <c r="B2" s="29" t="s">
        <v>57</v>
      </c>
      <c r="C2" s="29" t="s">
        <v>58</v>
      </c>
      <c r="D2" s="29" t="s">
        <v>59</v>
      </c>
    </row>
    <row r="3" spans="1:4">
      <c r="A3" s="29" t="s">
        <v>11</v>
      </c>
      <c r="B3" s="29" t="s">
        <v>60</v>
      </c>
      <c r="C3" s="29">
        <v>1000</v>
      </c>
      <c r="D3" s="29" t="s">
        <v>61</v>
      </c>
    </row>
    <row r="4" spans="1:4">
      <c r="A4" s="29" t="s">
        <v>62</v>
      </c>
      <c r="B4" s="29" t="s">
        <v>63</v>
      </c>
      <c r="C4" s="29" t="s">
        <v>58</v>
      </c>
      <c r="D4" s="29" t="s">
        <v>64</v>
      </c>
    </row>
    <row r="5" spans="1:4">
      <c r="A5" s="29" t="s">
        <v>65</v>
      </c>
      <c r="B5" s="29" t="s">
        <v>66</v>
      </c>
      <c r="C5" s="29" t="s">
        <v>67</v>
      </c>
      <c r="D5" s="29" t="s">
        <v>68</v>
      </c>
    </row>
    <row r="6" spans="1:4">
      <c r="A6" s="29" t="s">
        <v>12</v>
      </c>
      <c r="B6" s="29" t="s">
        <v>69</v>
      </c>
      <c r="C6" s="31">
        <v>-6.0000000000000006E-20</v>
      </c>
      <c r="D6" s="29" t="s">
        <v>70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A2689-0AF7-4319-9106-92F8F42A555A}">
  <dimension ref="A1:F37"/>
  <sheetViews>
    <sheetView tabSelected="1" workbookViewId="0">
      <selection activeCell="F5" sqref="F5"/>
    </sheetView>
  </sheetViews>
  <sheetFormatPr defaultRowHeight="15"/>
  <cols>
    <col min="1" max="1" width="14.85546875" customWidth="1"/>
    <col min="2" max="2" width="18.42578125" customWidth="1"/>
    <col min="3" max="3" width="16.28515625" customWidth="1"/>
    <col min="4" max="4" width="19.85546875" customWidth="1"/>
  </cols>
  <sheetData>
    <row r="1" spans="1:6">
      <c r="A1" s="3" t="s">
        <v>0</v>
      </c>
      <c r="B1" t="s">
        <v>71</v>
      </c>
      <c r="C1" t="s">
        <v>72</v>
      </c>
      <c r="D1" t="s">
        <v>73</v>
      </c>
    </row>
    <row r="2" spans="1:6">
      <c r="A2" s="6" t="s">
        <v>16</v>
      </c>
      <c r="B2" s="24">
        <v>2398212.9587918636</v>
      </c>
      <c r="C2">
        <v>56.975010535902605</v>
      </c>
      <c r="D2">
        <v>73.143944935261104</v>
      </c>
      <c r="E2">
        <f>AVERAGE(B3:B7)</f>
        <v>238.9426350421044</v>
      </c>
      <c r="F2" s="37" t="s">
        <v>74</v>
      </c>
    </row>
    <row r="3" spans="1:6">
      <c r="A3" s="9" t="s">
        <v>17</v>
      </c>
      <c r="B3" s="37">
        <v>294.2027581710712</v>
      </c>
      <c r="C3">
        <v>56.731731204880575</v>
      </c>
      <c r="D3">
        <v>84.24304448671559</v>
      </c>
      <c r="F3" s="24" t="s">
        <v>75</v>
      </c>
    </row>
    <row r="4" spans="1:6">
      <c r="A4" s="9" t="s">
        <v>18</v>
      </c>
      <c r="B4" s="37">
        <v>345.48871634529735</v>
      </c>
      <c r="C4">
        <v>67.649319218039849</v>
      </c>
      <c r="D4">
        <v>88.413034150750647</v>
      </c>
    </row>
    <row r="5" spans="1:6">
      <c r="A5" s="9" t="s">
        <v>19</v>
      </c>
      <c r="B5">
        <v>50.462833390673012</v>
      </c>
      <c r="C5">
        <v>59.971825865613255</v>
      </c>
      <c r="D5">
        <v>76.023208001255099</v>
      </c>
    </row>
    <row r="6" spans="1:6">
      <c r="A6" s="9" t="s">
        <v>20</v>
      </c>
      <c r="B6" s="37">
        <v>253.84516050297489</v>
      </c>
      <c r="C6">
        <v>74.340331488998387</v>
      </c>
      <c r="D6">
        <v>83.159129899040963</v>
      </c>
    </row>
    <row r="7" spans="1:6">
      <c r="A7" s="10" t="s">
        <v>21</v>
      </c>
      <c r="B7" s="37">
        <v>250.71370680050543</v>
      </c>
      <c r="C7" s="24">
        <v>1074.359594928203</v>
      </c>
      <c r="D7">
        <v>76.128615837488098</v>
      </c>
    </row>
    <row r="8" spans="1:6">
      <c r="A8" s="9" t="s">
        <v>22</v>
      </c>
      <c r="B8" s="37">
        <v>261.86293748468671</v>
      </c>
      <c r="C8">
        <v>65.750383565144702</v>
      </c>
      <c r="D8">
        <v>98.684003685906433</v>
      </c>
      <c r="E8">
        <f>AVERAGE(B8:B13)</f>
        <v>216.62061792339128</v>
      </c>
    </row>
    <row r="9" spans="1:6">
      <c r="A9" s="9" t="s">
        <v>23</v>
      </c>
      <c r="B9" s="37">
        <v>239.32109011403395</v>
      </c>
      <c r="C9">
        <v>72.717515113174514</v>
      </c>
      <c r="D9">
        <v>93.123790141400207</v>
      </c>
    </row>
    <row r="10" spans="1:6">
      <c r="A10" s="9" t="s">
        <v>24</v>
      </c>
      <c r="B10" s="37">
        <v>270.53240263048281</v>
      </c>
      <c r="C10" s="24">
        <v>-2.4407557954557633</v>
      </c>
      <c r="D10">
        <v>95.086794358828868</v>
      </c>
    </row>
    <row r="11" spans="1:6">
      <c r="A11" s="9" t="s">
        <v>25</v>
      </c>
      <c r="B11" s="37">
        <v>204.28246805499893</v>
      </c>
      <c r="C11">
        <v>60.10924664200008</v>
      </c>
      <c r="D11">
        <v>90.912858861250726</v>
      </c>
    </row>
    <row r="12" spans="1:6">
      <c r="A12" s="9" t="s">
        <v>26</v>
      </c>
      <c r="B12">
        <v>99.973042866861604</v>
      </c>
      <c r="C12">
        <v>73.471347903424132</v>
      </c>
      <c r="D12">
        <v>90.186274473467748</v>
      </c>
    </row>
    <row r="13" spans="1:6">
      <c r="A13" s="10" t="s">
        <v>27</v>
      </c>
      <c r="B13" s="37">
        <v>223.75176638928363</v>
      </c>
      <c r="C13">
        <v>82.957690844571147</v>
      </c>
      <c r="D13">
        <v>90.936211425211511</v>
      </c>
    </row>
    <row r="14" spans="1:6">
      <c r="A14" s="9" t="s">
        <v>28</v>
      </c>
      <c r="B14" s="37">
        <v>181.7222885437856</v>
      </c>
      <c r="C14">
        <v>52.325881545834079</v>
      </c>
      <c r="D14">
        <v>79.151247876355214</v>
      </c>
      <c r="E14">
        <f>AVERAGE(B14:B19)</f>
        <v>165.23738285817669</v>
      </c>
    </row>
    <row r="15" spans="1:6">
      <c r="A15" s="9" t="s">
        <v>29</v>
      </c>
      <c r="B15" s="37">
        <v>186.1299467004178</v>
      </c>
      <c r="C15">
        <v>51.62059253616782</v>
      </c>
      <c r="D15">
        <v>85.893827093065696</v>
      </c>
    </row>
    <row r="16" spans="1:6">
      <c r="A16" s="9" t="s">
        <v>30</v>
      </c>
      <c r="B16" s="37">
        <v>201.26829034508208</v>
      </c>
      <c r="C16">
        <v>45.678525838778832</v>
      </c>
      <c r="D16">
        <v>82.964522950921207</v>
      </c>
    </row>
    <row r="17" spans="1:5">
      <c r="A17" s="9" t="s">
        <v>31</v>
      </c>
      <c r="B17" s="37">
        <v>156.16608458016665</v>
      </c>
      <c r="C17">
        <v>53.485495180506355</v>
      </c>
      <c r="D17">
        <v>72.992289908405255</v>
      </c>
    </row>
    <row r="18" spans="1:5">
      <c r="A18" s="9" t="s">
        <v>32</v>
      </c>
      <c r="B18">
        <v>132.25904332154147</v>
      </c>
      <c r="C18">
        <v>95.612920603250117</v>
      </c>
      <c r="D18">
        <v>64.736872845528055</v>
      </c>
    </row>
    <row r="19" spans="1:5">
      <c r="A19" s="10" t="s">
        <v>33</v>
      </c>
      <c r="B19">
        <v>133.87864365806658</v>
      </c>
      <c r="C19">
        <v>39.410854708135979</v>
      </c>
      <c r="D19">
        <v>63.513377852398733</v>
      </c>
    </row>
    <row r="20" spans="1:5">
      <c r="A20" s="13" t="s">
        <v>34</v>
      </c>
      <c r="B20">
        <v>131.53422174849777</v>
      </c>
      <c r="C20">
        <v>77.111128518057512</v>
      </c>
      <c r="D20">
        <v>61.787565103301752</v>
      </c>
      <c r="E20">
        <f>AVERAGE(B20:B25)</f>
        <v>103.63860815962789</v>
      </c>
    </row>
    <row r="21" spans="1:5">
      <c r="A21" s="13" t="s">
        <v>35</v>
      </c>
      <c r="B21" s="28">
        <v>66.489796806712164</v>
      </c>
      <c r="C21">
        <v>75.713736949928517</v>
      </c>
      <c r="D21">
        <v>61.444552783246209</v>
      </c>
    </row>
    <row r="22" spans="1:5">
      <c r="A22" s="13" t="s">
        <v>36</v>
      </c>
      <c r="B22">
        <v>121.82803968327451</v>
      </c>
      <c r="C22">
        <v>87.824141963086802</v>
      </c>
      <c r="D22">
        <v>70.990485415753497</v>
      </c>
    </row>
    <row r="23" spans="1:5">
      <c r="A23" s="13" t="s">
        <v>37</v>
      </c>
      <c r="B23">
        <v>108.0192958739751</v>
      </c>
      <c r="C23">
        <v>53.16483231229418</v>
      </c>
      <c r="D23">
        <v>41.811444440407804</v>
      </c>
    </row>
    <row r="24" spans="1:5">
      <c r="A24" s="13" t="s">
        <v>38</v>
      </c>
      <c r="B24">
        <v>84.147417542959303</v>
      </c>
      <c r="C24">
        <v>50.667259266247761</v>
      </c>
      <c r="D24">
        <v>39.076518011589236</v>
      </c>
    </row>
    <row r="25" spans="1:5">
      <c r="A25" s="14" t="s">
        <v>39</v>
      </c>
      <c r="B25">
        <v>109.81287730234845</v>
      </c>
      <c r="C25">
        <v>69.127320154264282</v>
      </c>
      <c r="D25">
        <v>55.818184228006679</v>
      </c>
    </row>
    <row r="26" spans="1:5">
      <c r="A26" s="13" t="s">
        <v>40</v>
      </c>
      <c r="B26">
        <v>185.19167886642944</v>
      </c>
      <c r="C26">
        <v>131.45999852978557</v>
      </c>
      <c r="D26">
        <v>101.63014545065488</v>
      </c>
      <c r="E26">
        <f>AVERAGE(B26:B31)</f>
        <v>180.96699016363678</v>
      </c>
    </row>
    <row r="27" spans="1:5">
      <c r="A27" s="13" t="s">
        <v>41</v>
      </c>
      <c r="B27">
        <v>171.00578938845777</v>
      </c>
      <c r="C27">
        <v>113.50531961314086</v>
      </c>
      <c r="D27">
        <v>88.259213860909838</v>
      </c>
    </row>
    <row r="28" spans="1:5">
      <c r="A28" s="15" t="s">
        <v>42</v>
      </c>
      <c r="B28">
        <v>224.33094332259907</v>
      </c>
      <c r="C28">
        <v>126.99302435060429</v>
      </c>
      <c r="D28">
        <v>98.364868326300808</v>
      </c>
    </row>
    <row r="29" spans="1:5">
      <c r="A29" s="13" t="s">
        <v>43</v>
      </c>
      <c r="B29">
        <v>187.93792537816719</v>
      </c>
      <c r="C29">
        <v>98.991800413891227</v>
      </c>
      <c r="D29">
        <v>76.734502007227121</v>
      </c>
    </row>
    <row r="30" spans="1:5">
      <c r="A30" s="13" t="s">
        <v>44</v>
      </c>
      <c r="B30">
        <v>181.66529149420214</v>
      </c>
      <c r="C30">
        <v>101.71942170253982</v>
      </c>
      <c r="D30">
        <v>80.025417170107559</v>
      </c>
    </row>
    <row r="31" spans="1:5">
      <c r="A31" s="14" t="s">
        <v>45</v>
      </c>
      <c r="B31">
        <v>135.67031253196504</v>
      </c>
      <c r="C31">
        <v>108.59226835380758</v>
      </c>
      <c r="D31">
        <v>84.67472001448084</v>
      </c>
    </row>
    <row r="32" spans="1:5">
      <c r="A32" s="13" t="s">
        <v>46</v>
      </c>
      <c r="B32" s="37">
        <v>189.55841744183655</v>
      </c>
      <c r="C32">
        <v>47.286616854033845</v>
      </c>
      <c r="D32">
        <v>76.482538039810208</v>
      </c>
      <c r="E32">
        <f>AVERAGE(B32:B37)</f>
        <v>168.1123313953301</v>
      </c>
    </row>
    <row r="33" spans="1:4">
      <c r="A33" s="13" t="s">
        <v>47</v>
      </c>
      <c r="B33" s="37">
        <v>195.56408142677165</v>
      </c>
      <c r="C33">
        <v>49.298125861397871</v>
      </c>
      <c r="D33">
        <v>81.754351466224932</v>
      </c>
    </row>
    <row r="34" spans="1:4">
      <c r="A34" s="13" t="s">
        <v>48</v>
      </c>
      <c r="B34" s="37">
        <v>206.82442218228971</v>
      </c>
      <c r="C34">
        <v>49.456153930542108</v>
      </c>
      <c r="D34">
        <v>78.82394687911669</v>
      </c>
    </row>
    <row r="35" spans="1:4">
      <c r="A35" s="13" t="s">
        <v>49</v>
      </c>
      <c r="B35" s="37">
        <v>133.44692807425585</v>
      </c>
      <c r="C35">
        <v>50.50154637779552</v>
      </c>
      <c r="D35">
        <v>70.125618770906541</v>
      </c>
    </row>
    <row r="36" spans="1:4">
      <c r="A36" s="13" t="s">
        <v>50</v>
      </c>
      <c r="B36" s="37">
        <v>141.24499338592383</v>
      </c>
      <c r="C36">
        <v>45.321621001569085</v>
      </c>
      <c r="D36">
        <v>69.050318456928565</v>
      </c>
    </row>
    <row r="37" spans="1:4">
      <c r="A37" s="13" t="s">
        <v>51</v>
      </c>
      <c r="B37" s="37">
        <v>142.03514586090296</v>
      </c>
      <c r="C37">
        <v>43.414192757814867</v>
      </c>
      <c r="D37">
        <v>64.888277593818117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c7a9e26b68c7148b1f4c19027baf6be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ea92f46ce11959a32adf5425306acb8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108FE1-5D13-43D7-B0CC-55D408433484}"/>
</file>

<file path=customXml/itemProps2.xml><?xml version="1.0" encoding="utf-8"?>
<ds:datastoreItem xmlns:ds="http://schemas.openxmlformats.org/officeDocument/2006/customXml" ds:itemID="{6B82C744-E6A3-40FA-974E-EB3C6730E733}"/>
</file>

<file path=customXml/itemProps3.xml><?xml version="1.0" encoding="utf-8"?>
<ds:datastoreItem xmlns:ds="http://schemas.openxmlformats.org/officeDocument/2006/customXml" ds:itemID="{46E7F83B-9FD2-4C30-89D1-6575782AEA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Garcia, Marci R</dc:creator>
  <cp:keywords/>
  <dc:description/>
  <cp:lastModifiedBy>Rod, Kenton A</cp:lastModifiedBy>
  <cp:revision/>
  <dcterms:created xsi:type="dcterms:W3CDTF">2026-03-02T20:10:47Z</dcterms:created>
  <dcterms:modified xsi:type="dcterms:W3CDTF">2026-04-24T18:08:49Z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  <property fmtid="{D5CDD505-2E9C-101B-9397-08002B2CF9AE}" pid="3" name="MediaServiceImageTags">
    <vt:lpwstr/>
  </property>
</Properties>
</file>
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kenton_rod_pnnl_gov1/Documents/Desktop/COMPASS/DELUGE/Ksat/"/>
    </mc:Choice>
  </mc:AlternateContent>
  <xr:revisionPtr revIDLastSave="95" documentId="8_{EAB27CEF-B312-4101-99ED-CF00BC72AB4A}" xr6:coauthVersionLast="47" xr6:coauthVersionMax="47" xr10:uidLastSave="{3902616D-009B-4601-B9B6-FCA0937D6421}"/>
  <bookViews>
    <workbookView xWindow="-120" yWindow="-120" windowWidth="29040" windowHeight="15720" xr2:uid="{C3693B8D-930B-4C58-B164-16CC00D6739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</calcChain>
</file>

<file path=xl/sharedStrings.xml><?xml version="1.0" encoding="utf-8"?>
<sst xmlns="http://schemas.openxmlformats.org/spreadsheetml/2006/main" count="73" uniqueCount="73">
  <si>
    <t>file</t>
  </si>
  <si>
    <t>Ks Soil [cm/d]</t>
  </si>
  <si>
    <t>log10</t>
  </si>
  <si>
    <t>KSAT_measurement_F1-BD-A1_001</t>
  </si>
  <si>
    <t>24.362</t>
  </si>
  <si>
    <t>KSAT_measurement_F1-BD-A2_006</t>
  </si>
  <si>
    <t>2140.000</t>
  </si>
  <si>
    <t>KSAT_measurement_F1-BD-A3_000</t>
  </si>
  <si>
    <t>16.438</t>
  </si>
  <si>
    <t>KSAT_measurement_F1-BD-B1_003</t>
  </si>
  <si>
    <t>87.990</t>
  </si>
  <si>
    <t>KSAT_measurement_F1-BD-B2_002</t>
  </si>
  <si>
    <t>215.647</t>
  </si>
  <si>
    <t>KSAT_measurement_F1-BD-B3_003</t>
  </si>
  <si>
    <t>37.558</t>
  </si>
  <si>
    <t>KSAT_measurement_F2-BD-A1_001</t>
  </si>
  <si>
    <t>686.348</t>
  </si>
  <si>
    <t>KSAT_measurement_F2-BD-A2_002</t>
  </si>
  <si>
    <t>675.950</t>
  </si>
  <si>
    <t>KSAT_measurement_F2-BD-A3_000</t>
  </si>
  <si>
    <t>3.295</t>
  </si>
  <si>
    <t>KSAT_measurement_F2-BD-B1_001</t>
  </si>
  <si>
    <t>51.170</t>
  </si>
  <si>
    <t>KSAT_measurement_F2-BD-B2_000</t>
  </si>
  <si>
    <t>8.608</t>
  </si>
  <si>
    <t>KSAT_measurement_F2-BD-B3_002</t>
  </si>
  <si>
    <t>153.324</t>
  </si>
  <si>
    <t>KSAT_measurement_F3-BD-A1_001</t>
  </si>
  <si>
    <t>10360.000</t>
  </si>
  <si>
    <t>KSAT_measurement_F3-BD-A2_001</t>
  </si>
  <si>
    <t>385.706</t>
  </si>
  <si>
    <t>KSAT_measurement_F3-BD-A3_001</t>
  </si>
  <si>
    <t>689.167</t>
  </si>
  <si>
    <t>KSAT_measurement_F3-BD-B1_003</t>
  </si>
  <si>
    <t>11.779</t>
  </si>
  <si>
    <t>KSAT_measurement_F3-BD-B2_001</t>
  </si>
  <si>
    <t>601.508</t>
  </si>
  <si>
    <t>KSAT_measurement_F3-BD-B3_000</t>
  </si>
  <si>
    <t>1.450</t>
  </si>
  <si>
    <t>KSAT_measurement_F4-BD-A1_000</t>
  </si>
  <si>
    <t>2240.000</t>
  </si>
  <si>
    <t>KSAT_measurement_F4-BD-A2_000</t>
  </si>
  <si>
    <t>1060.000</t>
  </si>
  <si>
    <t>KSAT_measurement_F4-BD-A3_001</t>
  </si>
  <si>
    <t>667.029</t>
  </si>
  <si>
    <t>KSAT_measurement_F4-BD-B1_002</t>
  </si>
  <si>
    <t>45.794</t>
  </si>
  <si>
    <t>KSAT_measurement_F4-BD-B2_001</t>
  </si>
  <si>
    <t>38.232</t>
  </si>
  <si>
    <t>KSAT_measurement_F4-BD-B3_001</t>
  </si>
  <si>
    <t>31.179</t>
  </si>
  <si>
    <t>KSAT_measurement_R1_BD_A1_001</t>
  </si>
  <si>
    <t>1770.000</t>
  </si>
  <si>
    <t>KSAT_measurement_R1-BD-A2_001</t>
  </si>
  <si>
    <t>327.968</t>
  </si>
  <si>
    <t>KSAT_measurement_R1-BD-A3_001</t>
  </si>
  <si>
    <t>158.012</t>
  </si>
  <si>
    <t>KSAT_measurement_R1-BD-B1_001</t>
  </si>
  <si>
    <t>26.957</t>
  </si>
  <si>
    <t>KSAT_measurement_R1-BD-B2_000</t>
  </si>
  <si>
    <t>1.660</t>
  </si>
  <si>
    <t>KSAT_measurement_R2_BD_A1_001</t>
  </si>
  <si>
    <t>808.806</t>
  </si>
  <si>
    <t>KSAT_measurement_R2-BD-A2_000</t>
  </si>
  <si>
    <t>71.828</t>
  </si>
  <si>
    <t>KSAT_measurement_R2-BD-A3_003</t>
  </si>
  <si>
    <t>256.146</t>
  </si>
  <si>
    <t>KSAT_measurement_R2-BD-B1_000</t>
  </si>
  <si>
    <t>206.889</t>
  </si>
  <si>
    <t>KSAT_measurement_R2-BD-B2_001</t>
  </si>
  <si>
    <t>86.335</t>
  </si>
  <si>
    <t>KSAT_measurement_R1-BD-B3_001</t>
  </si>
  <si>
    <t>KSAT_measurement_R2-BD-B3_003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</si>
</sst>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Fill="1" applyBorder="1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4701-854F-4417-8F74-0450BE8A6D23}">
  <dimension ref="A1:C37"/>
  <sheetViews>
    <sheetView tabSelected="1" workbookViewId="0">
      <selection activeCell="A5" sqref="A5"/>
    </sheetView>
  </sheetViews>
  <sheetFormatPr defaultRowHeight="15"/>
  <cols>
    <col min="1" max="1" width="31.7109375" bestFit="1" customWidth="1"/>
    <col min="2" max="2" width="14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f>LOG10(B2)</f>
        <v>1.3867129388585961</v>
      </c>
    </row>
    <row r="3" spans="1:3">
      <c r="A3" t="s">
        <v>5</v>
      </c>
      <c r="B3" t="s">
        <v>6</v>
      </c>
      <c r="C3" s="1">
        <f t="shared" ref="C3:C37" si="0">LOG10(B3)</f>
        <v>3.330413773349191</v>
      </c>
    </row>
    <row r="4" spans="1:3">
      <c r="A4" t="s">
        <v>7</v>
      </c>
      <c r="B4" t="s">
        <v>8</v>
      </c>
      <c r="C4" s="1">
        <f t="shared" si="0"/>
        <v>1.2158489761114544</v>
      </c>
    </row>
    <row r="5" spans="1:3">
      <c r="A5" s="4" t="s">
        <v>9</v>
      </c>
      <c r="B5" t="s">
        <v>10</v>
      </c>
      <c r="C5" s="1">
        <f t="shared" si="0"/>
        <v>1.9444333177002147</v>
      </c>
    </row>
    <row r="6" spans="1:3">
      <c r="A6" t="s">
        <v>11</v>
      </c>
      <c r="B6" t="s">
        <v>12</v>
      </c>
      <c r="C6" s="1">
        <f t="shared" si="0"/>
        <v>2.3337434207824188</v>
      </c>
    </row>
    <row r="7" spans="1:3">
      <c r="A7" t="s">
        <v>13</v>
      </c>
      <c r="B7" t="s">
        <v>14</v>
      </c>
      <c r="C7" s="1">
        <f t="shared" si="0"/>
        <v>1.5747024576065867</v>
      </c>
    </row>
    <row r="8" spans="1:3">
      <c r="A8" t="s">
        <v>15</v>
      </c>
      <c r="B8" t="s">
        <v>16</v>
      </c>
      <c r="C8" s="1">
        <f t="shared" si="0"/>
        <v>2.8365443724972184</v>
      </c>
    </row>
    <row r="9" spans="1:3">
      <c r="A9" t="s">
        <v>17</v>
      </c>
      <c r="B9" t="s">
        <v>18</v>
      </c>
      <c r="C9" s="1">
        <f t="shared" si="0"/>
        <v>2.829914572380698</v>
      </c>
    </row>
    <row r="10" spans="1:3">
      <c r="A10" t="s">
        <v>19</v>
      </c>
      <c r="B10" t="s">
        <v>20</v>
      </c>
      <c r="C10" s="1">
        <f t="shared" si="0"/>
        <v>0.51785541893002862</v>
      </c>
    </row>
    <row r="11" spans="1:3">
      <c r="A11" t="s">
        <v>21</v>
      </c>
      <c r="B11" t="s">
        <v>22</v>
      </c>
      <c r="C11" s="1">
        <f t="shared" si="0"/>
        <v>1.7090154169721172</v>
      </c>
    </row>
    <row r="12" spans="1:3">
      <c r="A12" t="s">
        <v>23</v>
      </c>
      <c r="B12" t="s">
        <v>24</v>
      </c>
      <c r="C12" s="1">
        <f t="shared" si="0"/>
        <v>0.93490225832231399</v>
      </c>
    </row>
    <row r="13" spans="1:3">
      <c r="A13" t="s">
        <v>25</v>
      </c>
      <c r="B13" t="s">
        <v>26</v>
      </c>
      <c r="C13" s="1">
        <f t="shared" si="0"/>
        <v>2.1856101408410362</v>
      </c>
    </row>
    <row r="14" spans="1:3">
      <c r="A14" t="s">
        <v>27</v>
      </c>
      <c r="B14" s="2" t="s">
        <v>28</v>
      </c>
      <c r="C14" s="1">
        <f t="shared" si="0"/>
        <v>4.0153597554092144</v>
      </c>
    </row>
    <row r="15" spans="1:3">
      <c r="A15" t="s">
        <v>29</v>
      </c>
      <c r="B15" t="s">
        <v>30</v>
      </c>
      <c r="C15" s="1">
        <f t="shared" si="0"/>
        <v>2.5862563947556549</v>
      </c>
    </row>
    <row r="16" spans="1:3">
      <c r="A16" t="s">
        <v>31</v>
      </c>
      <c r="B16" t="s">
        <v>32</v>
      </c>
      <c r="C16" s="1">
        <f t="shared" si="0"/>
        <v>2.8383244735626616</v>
      </c>
    </row>
    <row r="17" spans="1:3">
      <c r="A17" t="s">
        <v>33</v>
      </c>
      <c r="B17" t="s">
        <v>34</v>
      </c>
      <c r="C17" s="1">
        <f t="shared" si="0"/>
        <v>1.0711084217824496</v>
      </c>
    </row>
    <row r="18" spans="1:3">
      <c r="A18" t="s">
        <v>35</v>
      </c>
      <c r="B18" t="s">
        <v>36</v>
      </c>
      <c r="C18" s="1">
        <f t="shared" si="0"/>
        <v>2.7792414077901624</v>
      </c>
    </row>
    <row r="19" spans="1:3">
      <c r="A19" t="s">
        <v>37</v>
      </c>
      <c r="B19" t="s">
        <v>38</v>
      </c>
      <c r="C19" s="1">
        <f t="shared" si="0"/>
        <v>0.16136800223497488</v>
      </c>
    </row>
    <row r="20" spans="1:3">
      <c r="A20" t="s">
        <v>39</v>
      </c>
      <c r="B20" t="s">
        <v>40</v>
      </c>
      <c r="C20" s="1">
        <f t="shared" si="0"/>
        <v>3.3502480183341627</v>
      </c>
    </row>
    <row r="21" spans="1:3">
      <c r="A21" t="s">
        <v>41</v>
      </c>
      <c r="B21" t="s">
        <v>42</v>
      </c>
      <c r="C21" s="1">
        <f t="shared" si="0"/>
        <v>3.0253058652647704</v>
      </c>
    </row>
    <row r="22" spans="1:3">
      <c r="A22" t="s">
        <v>43</v>
      </c>
      <c r="B22" t="s">
        <v>44</v>
      </c>
      <c r="C22" s="1">
        <f t="shared" si="0"/>
        <v>2.8241447158748532</v>
      </c>
    </row>
    <row r="23" spans="1:3">
      <c r="A23" t="s">
        <v>45</v>
      </c>
      <c r="B23" t="s">
        <v>46</v>
      </c>
      <c r="C23" s="1">
        <f t="shared" si="0"/>
        <v>1.6608085798032197</v>
      </c>
    </row>
    <row r="24" spans="1:3">
      <c r="A24" t="s">
        <v>47</v>
      </c>
      <c r="B24" t="s">
        <v>48</v>
      </c>
      <c r="C24" s="1">
        <f t="shared" si="0"/>
        <v>1.5824270175127375</v>
      </c>
    </row>
    <row r="25" spans="1:3">
      <c r="A25" t="s">
        <v>49</v>
      </c>
      <c r="B25" t="s">
        <v>50</v>
      </c>
      <c r="C25" s="1">
        <f t="shared" si="0"/>
        <v>1.4938621820059221</v>
      </c>
    </row>
    <row r="26" spans="1:3">
      <c r="A26" t="s">
        <v>51</v>
      </c>
      <c r="B26" t="s">
        <v>52</v>
      </c>
      <c r="C26" s="1">
        <f t="shared" si="0"/>
        <v>3.2479732663618068</v>
      </c>
    </row>
    <row r="27" spans="1:3">
      <c r="A27" t="s">
        <v>53</v>
      </c>
      <c r="B27" t="s">
        <v>54</v>
      </c>
      <c r="C27" s="1">
        <f t="shared" si="0"/>
        <v>2.5158314714513494</v>
      </c>
    </row>
    <row r="28" spans="1:3">
      <c r="A28" t="s">
        <v>55</v>
      </c>
      <c r="B28" t="s">
        <v>56</v>
      </c>
      <c r="C28" s="1">
        <f t="shared" si="0"/>
        <v>2.1986900700929448</v>
      </c>
    </row>
    <row r="29" spans="1:3">
      <c r="A29" t="s">
        <v>57</v>
      </c>
      <c r="B29" t="s">
        <v>58</v>
      </c>
      <c r="C29" s="1">
        <f t="shared" si="0"/>
        <v>1.430671558636988</v>
      </c>
    </row>
    <row r="30" spans="1:3">
      <c r="A30" t="s">
        <v>59</v>
      </c>
      <c r="B30" t="s">
        <v>60</v>
      </c>
      <c r="C30" s="1">
        <f t="shared" si="0"/>
        <v>0.22010808804005508</v>
      </c>
    </row>
    <row r="31" spans="1:3">
      <c r="A31" t="s">
        <v>61</v>
      </c>
      <c r="B31" t="s">
        <v>62</v>
      </c>
      <c r="C31" s="1">
        <f t="shared" si="0"/>
        <v>2.9078443643401481</v>
      </c>
    </row>
    <row r="32" spans="1:3">
      <c r="A32" t="s">
        <v>63</v>
      </c>
      <c r="B32" t="s">
        <v>64</v>
      </c>
      <c r="C32" s="1">
        <f t="shared" si="0"/>
        <v>1.8562937739781087</v>
      </c>
    </row>
    <row r="33" spans="1:3">
      <c r="A33" t="s">
        <v>65</v>
      </c>
      <c r="B33" t="s">
        <v>66</v>
      </c>
      <c r="C33" s="1">
        <f t="shared" si="0"/>
        <v>2.4084875782818838</v>
      </c>
    </row>
    <row r="34" spans="1:3">
      <c r="A34" t="s">
        <v>67</v>
      </c>
      <c r="B34" t="s">
        <v>68</v>
      </c>
      <c r="C34" s="1">
        <f t="shared" si="0"/>
        <v>2.3157374004467965</v>
      </c>
    </row>
    <row r="35" spans="1:3">
      <c r="A35" t="s">
        <v>69</v>
      </c>
      <c r="B35" t="s">
        <v>70</v>
      </c>
      <c r="C35" s="1">
        <f t="shared" si="0"/>
        <v>1.9361868933440203</v>
      </c>
    </row>
    <row r="36" spans="1:3">
      <c r="A36" t="s">
        <v>71</v>
      </c>
      <c r="B36" s="3">
        <v>158.012</v>
      </c>
      <c r="C36" s="1">
        <f t="shared" si="0"/>
        <v>2.1986900700929448</v>
      </c>
    </row>
    <row r="37" spans="1:3">
      <c r="A37" t="s">
        <v>72</v>
      </c>
      <c r="B37" s="3">
        <v>256.14600000000002</v>
      </c>
      <c r="C37" s="1">
        <f t="shared" si="0"/>
        <v>2.4084875782818838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DCEF7D-4438-486D-91D0-A6EE7414F8DB}"/>
</file>

<file path=customXml/itemProps2.xml><?xml version="1.0" encoding="utf-8"?>
<ds:datastoreItem xmlns:ds="http://schemas.openxmlformats.org/officeDocument/2006/customXml" ds:itemID="{52807EAE-E22B-49D0-857B-7C3CAFBCB2BB}"/>
</file>

<file path=customXml/itemProps3.xml><?xml version="1.0" encoding="utf-8"?>
<ds:datastoreItem xmlns:ds="http://schemas.openxmlformats.org/officeDocument/2006/customXml" ds:itemID="{0F82887E-91D2-4C29-8A40-53132598AF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Rod, Kenton A</dc:creator>
  <cp:keywords/>
  <dc:description/>
  <cp:lastModifiedBy>Garcia, Marci R</cp:lastModifiedBy>
  <cp:revision/>
  <dcterms:created xsi:type="dcterms:W3CDTF">2025-12-31T05:11:54Z</dcterms:created>
  <dcterms:modified xsi:type="dcterms:W3CDTF">2026-01-07T21:00:58Z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
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ci_garcia_pnnl_gov/Documents/Kenton pH water/"/>
    </mc:Choice>
  </mc:AlternateContent>
  <xr:revisionPtr revIDLastSave="246" documentId="8_{9C688FFE-784D-4B83-9D71-9DD5740D2206}" xr6:coauthVersionLast="47" xr6:coauthVersionMax="47" xr10:uidLastSave="{F13AFD0B-09AB-49B1-B8D7-EC4576B35AE1}"/>
  <bookViews>
    <workbookView xWindow="-110" yWindow="-110" windowWidth="19420" windowHeight="11500" xr2:uid="{4969B6DA-0CE3-4013-9EB4-4393F14652E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E4" i="2"/>
  <c r="U4" i="2"/>
  <c r="R4" i="2"/>
  <c r="O4" i="2"/>
  <c r="L4" i="2"/>
</calcChain>
</file>

<file path=xl/sharedStrings.xml><?xml version="1.0" encoding="utf-8"?>
<sst xmlns="http://schemas.openxmlformats.org/spreadsheetml/2006/main" count="85" uniqueCount="60">
  <si>
    <t>Label ID</t>
  </si>
  <si>
    <t>Jar ID</t>
  </si>
  <si>
    <t>Jar Weight (g)</t>
  </si>
  <si>
    <t>Soil weight  - Jar (g)</t>
  </si>
  <si>
    <t>Soil weight Jar + wet weight (g)</t>
  </si>
  <si>
    <t>Soil weight + Jar Dry (g)</t>
  </si>
  <si>
    <t>Dry Soil Weight (g)</t>
  </si>
  <si>
    <t>moisture (%)</t>
  </si>
  <si>
    <t>Beaker #</t>
  </si>
  <si>
    <t>beaker tare weight (g)</t>
  </si>
  <si>
    <t>Dry weight + beaker(g)</t>
  </si>
  <si>
    <t>Dry weight minus beaker (g)</t>
  </si>
  <si>
    <t>Tare 500uM weight (g)</t>
  </si>
  <si>
    <t xml:space="preserve">Dry +sieve weight (g) 500uM </t>
  </si>
  <si>
    <t>Final Dry wieight (g) 500uM</t>
  </si>
  <si>
    <t>Tare 250uM weight (g)</t>
  </si>
  <si>
    <t xml:space="preserve">Dry +sieve weight (g) 250uM </t>
  </si>
  <si>
    <t>Final Dry wieight (g) 250uM</t>
  </si>
  <si>
    <t>Tare 53uM weight (g)</t>
  </si>
  <si>
    <t xml:space="preserve">Dry +sieve weight (g) 53uM </t>
  </si>
  <si>
    <t>Final Dry wieight (g) 53uM</t>
  </si>
  <si>
    <t>Notes:</t>
  </si>
  <si>
    <t>DLG_F1_BD_A-1</t>
  </si>
  <si>
    <t>DLG_F1_BD_A-2</t>
  </si>
  <si>
    <t>DLG_F1_BD_A-3</t>
  </si>
  <si>
    <t>DLG_F1_BD_B-1</t>
  </si>
  <si>
    <t>DLG_F1_BD_B-2</t>
  </si>
  <si>
    <t>DLG_F1_BD_B-3</t>
  </si>
  <si>
    <t>DLG_F2_BD_A1</t>
  </si>
  <si>
    <t>DLG_F2_BD_A-2</t>
  </si>
  <si>
    <t>DLG_F2_BD_A-3</t>
  </si>
  <si>
    <t>DLG_F2_BD_B-1</t>
  </si>
  <si>
    <t>DLG_F2_BD_B-2</t>
  </si>
  <si>
    <t>DLG_F2_BD_B-3</t>
  </si>
  <si>
    <t>DLG_F3_BD_A-1</t>
  </si>
  <si>
    <t>DLG_F3_BD_A-2</t>
  </si>
  <si>
    <t>DLG_F3_BD_A-3</t>
  </si>
  <si>
    <t>DLG_F3_BD_B-1</t>
  </si>
  <si>
    <t>DLG_F3_BD_B-2</t>
  </si>
  <si>
    <t>DLG_F3_BD_B-3</t>
  </si>
  <si>
    <t>DLG_F4_BD_A-1</t>
  </si>
  <si>
    <t>DLG_F4_BD_A-2</t>
  </si>
  <si>
    <t>DLG_F4_BD_A-3</t>
  </si>
  <si>
    <t>DLG_F4_BD_B-1</t>
  </si>
  <si>
    <t>DLG_F4_BD_B-2</t>
  </si>
  <si>
    <t>DLG_F4_BD_B-3</t>
  </si>
  <si>
    <t>DLG_R1_BD_A-1</t>
  </si>
  <si>
    <t>DLG_R1_BD_A-2</t>
  </si>
  <si>
    <t>DLG_R1_BD_A-3</t>
  </si>
  <si>
    <t>DLG_R1_BD_B-1</t>
  </si>
  <si>
    <t>DLG_R1_BD_B-2</t>
  </si>
  <si>
    <t>DLG_R1_BD_B-3</t>
  </si>
  <si>
    <t>DLG_R2_BD_A-1</t>
  </si>
  <si>
    <t>DLG_R2_BD_A-2</t>
  </si>
  <si>
    <t>DLG_R2_BD_A-3</t>
  </si>
  <si>
    <t>DLG_R2_BD_B-1</t>
  </si>
  <si>
    <t>DLG_R2_BD_B-2</t>
  </si>
  <si>
    <t>DLG_R2_BD_B-3</t>
  </si>
  <si>
    <t> </t>
  </si>
  <si>
    <t xml:space="preserve">hole in 53uM seive noticed when I too it out of oven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</si>
</sst>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3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2" borderId="1" xfId="0" applyFont="1" applyFill="1" applyBorder="1" applyAlignment="1"/>
    <xf numFmtId="0" fontId="2" fillId="3" borderId="0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0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1448-5CDA-4E58-BBC3-C884AA2728F3}">
  <dimension ref="A1:W40"/>
  <sheetViews>
    <sheetView tabSelected="1" zoomScale="94" workbookViewId="0">
      <pane xSplit="1" topLeftCell="B1" activePane="topRight" state="frozen"/>
      <selection pane="topRight" sqref="A1:W38"/>
    </sheetView>
  </sheetViews>
  <sheetFormatPr defaultColWidth="8.7109375" defaultRowHeight="14.45"/>
  <cols>
    <col min="1" max="1" width="16.42578125" style="3" customWidth="1"/>
    <col min="2" max="22" width="8.7109375" style="3"/>
    <col min="23" max="23" width="8.7109375" style="7"/>
    <col min="24" max="16384" width="8.7109375" style="3"/>
  </cols>
  <sheetData>
    <row r="1" spans="1:23" ht="72.75">
      <c r="A1" s="8" t="s">
        <v>0</v>
      </c>
      <c r="B1" s="9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/>
      <c r="W1" s="11" t="s">
        <v>21</v>
      </c>
    </row>
    <row r="2" spans="1:23" ht="15">
      <c r="A2" s="12" t="s">
        <v>22</v>
      </c>
      <c r="B2" s="9">
        <v>1</v>
      </c>
      <c r="C2" s="13">
        <v>260.79000000000002</v>
      </c>
      <c r="D2" s="9">
        <v>10.31</v>
      </c>
      <c r="E2" s="13">
        <v>271.10000000000002</v>
      </c>
      <c r="F2" s="13">
        <v>267.94</v>
      </c>
      <c r="G2" s="9">
        <v>7.15</v>
      </c>
      <c r="H2" s="9">
        <v>44.2</v>
      </c>
      <c r="I2" s="9">
        <v>1</v>
      </c>
      <c r="J2" s="9">
        <v>113.96</v>
      </c>
      <c r="K2" s="9">
        <v>115.21</v>
      </c>
      <c r="L2" s="9">
        <v>1.252</v>
      </c>
      <c r="M2" s="9">
        <v>94.3</v>
      </c>
      <c r="N2" s="9">
        <v>94.51</v>
      </c>
      <c r="O2" s="9">
        <v>0.21</v>
      </c>
      <c r="P2" s="9">
        <v>85.23</v>
      </c>
      <c r="Q2" s="9">
        <v>85.29</v>
      </c>
      <c r="R2" s="9">
        <v>0.06</v>
      </c>
      <c r="S2" s="9">
        <v>82.54</v>
      </c>
      <c r="T2" s="9">
        <v>83.29</v>
      </c>
      <c r="U2" s="9">
        <v>0.75</v>
      </c>
      <c r="V2" s="9"/>
      <c r="W2" s="9"/>
    </row>
    <row r="3" spans="1:23" ht="15">
      <c r="A3" s="14" t="s">
        <v>23</v>
      </c>
      <c r="B3" s="9">
        <v>2</v>
      </c>
      <c r="C3" s="13">
        <v>260.75</v>
      </c>
      <c r="D3" s="9">
        <v>15.64</v>
      </c>
      <c r="E3" s="13">
        <v>276.39</v>
      </c>
      <c r="F3" s="13">
        <v>268.60000000000002</v>
      </c>
      <c r="G3" s="9">
        <v>7.85</v>
      </c>
      <c r="H3" s="9">
        <v>99.2</v>
      </c>
      <c r="I3" s="9">
        <v>2</v>
      </c>
      <c r="J3" s="9">
        <v>116.08</v>
      </c>
      <c r="K3" s="9">
        <v>117.29</v>
      </c>
      <c r="L3" s="9">
        <v>1.2101</v>
      </c>
      <c r="M3" s="9">
        <v>95.35</v>
      </c>
      <c r="N3" s="9">
        <v>95.63</v>
      </c>
      <c r="O3" s="9">
        <v>0.28000000000000003</v>
      </c>
      <c r="P3" s="9">
        <v>91.28</v>
      </c>
      <c r="Q3" s="9">
        <v>91.43</v>
      </c>
      <c r="R3" s="9">
        <v>0.15</v>
      </c>
      <c r="S3" s="9">
        <v>82.37</v>
      </c>
      <c r="T3" s="9">
        <v>82.88</v>
      </c>
      <c r="U3" s="9">
        <v>0.51</v>
      </c>
      <c r="V3" s="9"/>
      <c r="W3" s="9"/>
    </row>
    <row r="4" spans="1:23" ht="15">
      <c r="A4" s="14" t="s">
        <v>24</v>
      </c>
      <c r="B4" s="9">
        <v>3</v>
      </c>
      <c r="C4" s="13">
        <v>273.51</v>
      </c>
      <c r="D4" s="9">
        <v>48.19</v>
      </c>
      <c r="E4" s="13">
        <v>321.7</v>
      </c>
      <c r="F4" s="13">
        <v>310.64</v>
      </c>
      <c r="G4" s="9">
        <v>37.130000000000003</v>
      </c>
      <c r="H4" s="9">
        <v>29.8</v>
      </c>
      <c r="I4" s="9">
        <v>3</v>
      </c>
      <c r="J4" s="9">
        <v>116.83</v>
      </c>
      <c r="K4" s="9">
        <v>119.1883</v>
      </c>
      <c r="L4" s="9">
        <v>2.3555999999999999</v>
      </c>
      <c r="M4" s="9">
        <v>93.63</v>
      </c>
      <c r="N4" s="9">
        <v>95.54</v>
      </c>
      <c r="O4" s="9">
        <v>1.91</v>
      </c>
      <c r="P4" s="9">
        <v>90.76</v>
      </c>
      <c r="Q4" s="9">
        <v>91.73</v>
      </c>
      <c r="R4" s="9">
        <v>0.97</v>
      </c>
      <c r="S4" s="9">
        <v>411.5</v>
      </c>
      <c r="T4" s="9">
        <v>414.2</v>
      </c>
      <c r="U4" s="9">
        <v>2.7</v>
      </c>
      <c r="V4" s="9"/>
      <c r="W4" s="9"/>
    </row>
    <row r="5" spans="1:23" ht="15">
      <c r="A5" s="14" t="s">
        <v>25</v>
      </c>
      <c r="B5" s="9">
        <v>4</v>
      </c>
      <c r="C5" s="13">
        <v>273.83999999999997</v>
      </c>
      <c r="D5" s="9">
        <v>59.82</v>
      </c>
      <c r="E5" s="13">
        <v>333.66</v>
      </c>
      <c r="F5" s="13">
        <v>318.73</v>
      </c>
      <c r="G5" s="9">
        <v>44.89</v>
      </c>
      <c r="H5" s="9">
        <v>33.299999999999997</v>
      </c>
      <c r="I5" s="9">
        <v>4</v>
      </c>
      <c r="J5" s="9">
        <v>110.31</v>
      </c>
      <c r="K5" s="9">
        <v>113.54689999999999</v>
      </c>
      <c r="L5" s="9">
        <v>3.2395</v>
      </c>
      <c r="M5" s="9">
        <v>91.54</v>
      </c>
      <c r="N5" s="9">
        <v>91.66</v>
      </c>
      <c r="O5" s="9">
        <v>0.12</v>
      </c>
      <c r="P5" s="9">
        <v>91.09</v>
      </c>
      <c r="Q5" s="9">
        <v>91.18</v>
      </c>
      <c r="R5" s="9">
        <v>0.09</v>
      </c>
      <c r="S5" s="9">
        <v>85.89</v>
      </c>
      <c r="T5" s="9">
        <v>86.26</v>
      </c>
      <c r="U5" s="9">
        <v>0.37</v>
      </c>
      <c r="V5" s="9"/>
      <c r="W5" s="9"/>
    </row>
    <row r="6" spans="1:23" ht="15">
      <c r="A6" s="14" t="s">
        <v>26</v>
      </c>
      <c r="B6" s="9">
        <v>5</v>
      </c>
      <c r="C6" s="13">
        <v>261.49</v>
      </c>
      <c r="D6" s="9">
        <v>40.799999999999997</v>
      </c>
      <c r="E6" s="13">
        <v>302.29000000000002</v>
      </c>
      <c r="F6" s="13">
        <v>294.36</v>
      </c>
      <c r="G6" s="9">
        <v>32.869999999999997</v>
      </c>
      <c r="H6" s="9">
        <v>24.1</v>
      </c>
      <c r="I6" s="9">
        <v>1</v>
      </c>
      <c r="J6" s="9">
        <v>113.96</v>
      </c>
      <c r="K6" s="9">
        <v>117.15</v>
      </c>
      <c r="L6" s="9">
        <v>3.1920000000000002</v>
      </c>
      <c r="M6" s="9">
        <v>94.3</v>
      </c>
      <c r="N6" s="9">
        <v>94.54</v>
      </c>
      <c r="O6" s="9">
        <v>0.24</v>
      </c>
      <c r="P6" s="9">
        <v>85.23</v>
      </c>
      <c r="Q6" s="9">
        <v>85.44</v>
      </c>
      <c r="R6" s="9">
        <v>0.21</v>
      </c>
      <c r="S6" s="9">
        <v>82.54</v>
      </c>
      <c r="T6" s="9">
        <v>83.63</v>
      </c>
      <c r="U6" s="9">
        <v>1.0900000000000001</v>
      </c>
      <c r="V6" s="9"/>
      <c r="W6" s="9"/>
    </row>
    <row r="7" spans="1:23" ht="15">
      <c r="A7" s="15" t="s">
        <v>27</v>
      </c>
      <c r="B7" s="9">
        <v>6</v>
      </c>
      <c r="C7" s="13">
        <v>274.92</v>
      </c>
      <c r="D7" s="9">
        <v>60.26</v>
      </c>
      <c r="E7" s="13">
        <v>335.18</v>
      </c>
      <c r="F7" s="13">
        <v>322.67</v>
      </c>
      <c r="G7" s="9">
        <v>47.75</v>
      </c>
      <c r="H7" s="9">
        <v>26.2</v>
      </c>
      <c r="I7" s="9">
        <v>2</v>
      </c>
      <c r="J7" s="9">
        <v>116.08</v>
      </c>
      <c r="K7" s="9">
        <v>119.45</v>
      </c>
      <c r="L7" s="9">
        <v>3.3700999999999999</v>
      </c>
      <c r="M7" s="9">
        <v>91.49</v>
      </c>
      <c r="N7" s="9">
        <v>91.95</v>
      </c>
      <c r="O7" s="9">
        <v>0.46</v>
      </c>
      <c r="P7" s="9">
        <v>86</v>
      </c>
      <c r="Q7" s="9">
        <v>86.28</v>
      </c>
      <c r="R7" s="9">
        <v>0.28000000000000003</v>
      </c>
      <c r="S7" s="9">
        <v>81.599999999999994</v>
      </c>
      <c r="T7" s="9">
        <v>83.96</v>
      </c>
      <c r="U7" s="9">
        <v>2.36</v>
      </c>
      <c r="V7" s="9"/>
      <c r="W7" s="9"/>
    </row>
    <row r="8" spans="1:23" ht="15">
      <c r="A8" s="14" t="s">
        <v>28</v>
      </c>
      <c r="B8" s="9">
        <v>7</v>
      </c>
      <c r="C8" s="13">
        <v>285.77999999999997</v>
      </c>
      <c r="D8" s="9">
        <v>43.69</v>
      </c>
      <c r="E8" s="13">
        <v>329.47</v>
      </c>
      <c r="F8" s="13">
        <v>318.32</v>
      </c>
      <c r="G8" s="9">
        <v>32.54</v>
      </c>
      <c r="H8" s="9">
        <v>34.299999999999997</v>
      </c>
      <c r="I8" s="9">
        <v>3</v>
      </c>
      <c r="J8" s="9">
        <v>116.83</v>
      </c>
      <c r="K8" s="9">
        <v>119.06</v>
      </c>
      <c r="L8" s="9">
        <v>2.2273000000000001</v>
      </c>
      <c r="M8" s="9">
        <v>95.35</v>
      </c>
      <c r="N8" s="9">
        <v>96.87</v>
      </c>
      <c r="O8" s="9">
        <v>1.52</v>
      </c>
      <c r="P8" s="9">
        <v>91.28</v>
      </c>
      <c r="Q8" s="9">
        <v>92.62</v>
      </c>
      <c r="R8" s="9">
        <v>1.34</v>
      </c>
      <c r="S8" s="9">
        <v>82.37</v>
      </c>
      <c r="T8" s="9">
        <v>85.48</v>
      </c>
      <c r="U8" s="9">
        <v>3.11</v>
      </c>
      <c r="V8" s="9"/>
      <c r="W8" s="9"/>
    </row>
    <row r="9" spans="1:23" ht="15">
      <c r="A9" s="14" t="s">
        <v>29</v>
      </c>
      <c r="B9" s="9">
        <v>8</v>
      </c>
      <c r="C9" s="13">
        <v>284.64999999999998</v>
      </c>
      <c r="D9" s="9">
        <v>30.42</v>
      </c>
      <c r="E9" s="13">
        <v>315.07</v>
      </c>
      <c r="F9" s="13">
        <v>307.72000000000003</v>
      </c>
      <c r="G9" s="9">
        <v>23.07</v>
      </c>
      <c r="H9" s="9">
        <v>31.9</v>
      </c>
      <c r="I9" s="9">
        <v>4</v>
      </c>
      <c r="J9" s="9">
        <v>110.31</v>
      </c>
      <c r="K9" s="9">
        <v>112.06</v>
      </c>
      <c r="L9" s="9">
        <v>1.7525999999999999</v>
      </c>
      <c r="M9" s="9">
        <v>92.28</v>
      </c>
      <c r="N9" s="9">
        <v>92.57</v>
      </c>
      <c r="O9" s="9">
        <v>0.28999999999999998</v>
      </c>
      <c r="P9" s="9">
        <v>86</v>
      </c>
      <c r="Q9" s="9">
        <v>86.65</v>
      </c>
      <c r="R9" s="9">
        <v>0.65</v>
      </c>
      <c r="S9" s="9">
        <v>81.42</v>
      </c>
      <c r="T9" s="9">
        <v>81.95</v>
      </c>
      <c r="U9" s="9">
        <v>0.53</v>
      </c>
      <c r="V9" s="9"/>
      <c r="W9" s="9"/>
    </row>
    <row r="10" spans="1:23" ht="15">
      <c r="A10" s="14" t="s">
        <v>30</v>
      </c>
      <c r="B10" s="9">
        <v>9</v>
      </c>
      <c r="C10" s="13">
        <v>275.18</v>
      </c>
      <c r="D10" s="9">
        <v>42.65</v>
      </c>
      <c r="E10" s="13">
        <v>317.83</v>
      </c>
      <c r="F10" s="13">
        <v>307.12</v>
      </c>
      <c r="G10" s="9">
        <v>31.94</v>
      </c>
      <c r="H10" s="9">
        <v>33.5</v>
      </c>
      <c r="I10" s="9">
        <v>3</v>
      </c>
      <c r="J10" s="9">
        <v>116.83</v>
      </c>
      <c r="K10" s="9">
        <v>119.62</v>
      </c>
      <c r="L10" s="9">
        <v>2.7873000000000001</v>
      </c>
      <c r="M10" s="9">
        <v>93.63</v>
      </c>
      <c r="N10" s="9">
        <v>94.55</v>
      </c>
      <c r="O10" s="9">
        <v>0.92</v>
      </c>
      <c r="P10" s="9">
        <v>90.76</v>
      </c>
      <c r="Q10" s="9">
        <v>91.31</v>
      </c>
      <c r="R10" s="9">
        <v>0.55000000000000004</v>
      </c>
      <c r="S10" s="9">
        <v>411.5</v>
      </c>
      <c r="T10" s="9">
        <v>416</v>
      </c>
      <c r="U10" s="9">
        <v>4.5</v>
      </c>
      <c r="V10" s="9"/>
      <c r="W10" s="9"/>
    </row>
    <row r="11" spans="1:23" ht="15">
      <c r="A11" s="14" t="s">
        <v>31</v>
      </c>
      <c r="B11" s="9">
        <v>10</v>
      </c>
      <c r="C11" s="13">
        <v>274.54000000000002</v>
      </c>
      <c r="D11" s="9">
        <v>60.04</v>
      </c>
      <c r="E11" s="13">
        <v>334.58</v>
      </c>
      <c r="F11" s="13">
        <v>321.20999999999998</v>
      </c>
      <c r="G11" s="9">
        <v>46.67</v>
      </c>
      <c r="H11" s="9">
        <v>28.6</v>
      </c>
      <c r="I11" s="9">
        <v>4</v>
      </c>
      <c r="J11" s="9">
        <v>110.31</v>
      </c>
      <c r="K11" s="9">
        <v>114.14</v>
      </c>
      <c r="L11" s="9">
        <v>3.8325999999999998</v>
      </c>
      <c r="M11" s="9">
        <v>91.54</v>
      </c>
      <c r="N11" s="9">
        <v>92.04</v>
      </c>
      <c r="O11" s="9">
        <v>0.5</v>
      </c>
      <c r="P11" s="9">
        <v>91.09</v>
      </c>
      <c r="Q11" s="9">
        <v>91.38</v>
      </c>
      <c r="R11" s="9">
        <v>0.28999999999999998</v>
      </c>
      <c r="S11" s="9">
        <v>412.1</v>
      </c>
      <c r="T11" s="9">
        <v>415</v>
      </c>
      <c r="U11" s="9">
        <v>2.9</v>
      </c>
      <c r="V11" s="9"/>
      <c r="W11" s="9"/>
    </row>
    <row r="12" spans="1:23" ht="15">
      <c r="A12" s="14" t="s">
        <v>32</v>
      </c>
      <c r="B12" s="9">
        <v>11</v>
      </c>
      <c r="C12" s="13">
        <v>260.52999999999997</v>
      </c>
      <c r="D12" s="9">
        <v>61.66</v>
      </c>
      <c r="E12" s="13">
        <v>322.19</v>
      </c>
      <c r="F12" s="13">
        <v>310.60000000000002</v>
      </c>
      <c r="G12" s="9">
        <v>50.07</v>
      </c>
      <c r="H12" s="9">
        <v>23.1</v>
      </c>
      <c r="I12" s="9">
        <v>1</v>
      </c>
      <c r="J12" s="9">
        <v>113.96</v>
      </c>
      <c r="K12" s="9">
        <v>118.22</v>
      </c>
      <c r="L12" s="9">
        <v>4.2619999999999996</v>
      </c>
      <c r="M12" s="9">
        <v>95.35</v>
      </c>
      <c r="N12" s="9">
        <v>95.85</v>
      </c>
      <c r="O12" s="9">
        <v>0.5</v>
      </c>
      <c r="P12" s="9">
        <v>91.28</v>
      </c>
      <c r="Q12" s="9">
        <v>91.66</v>
      </c>
      <c r="R12" s="9">
        <v>0.38</v>
      </c>
      <c r="S12" s="9">
        <v>412.1</v>
      </c>
      <c r="T12" s="9">
        <v>416.5</v>
      </c>
      <c r="U12" s="9">
        <v>4.4000000000000004</v>
      </c>
      <c r="V12" s="9"/>
      <c r="W12" s="9"/>
    </row>
    <row r="13" spans="1:23" ht="15">
      <c r="A13" s="15" t="s">
        <v>33</v>
      </c>
      <c r="B13" s="9">
        <v>12</v>
      </c>
      <c r="C13" s="13">
        <v>273</v>
      </c>
      <c r="D13" s="9">
        <v>60.18</v>
      </c>
      <c r="E13" s="13">
        <v>333.18</v>
      </c>
      <c r="F13" s="13">
        <v>315.76</v>
      </c>
      <c r="G13" s="9">
        <v>42.76</v>
      </c>
      <c r="H13" s="9">
        <v>40.700000000000003</v>
      </c>
      <c r="I13" s="9">
        <v>2</v>
      </c>
      <c r="J13" s="9">
        <v>116.08</v>
      </c>
      <c r="K13" s="9">
        <v>119.66</v>
      </c>
      <c r="L13" s="9">
        <v>3.5800999999999998</v>
      </c>
      <c r="M13" s="9">
        <v>94.3</v>
      </c>
      <c r="N13" s="9">
        <v>94.5</v>
      </c>
      <c r="O13" s="9">
        <v>0.2</v>
      </c>
      <c r="P13" s="9">
        <v>85.23</v>
      </c>
      <c r="Q13" s="9">
        <v>85.43</v>
      </c>
      <c r="R13" s="9">
        <v>0.2</v>
      </c>
      <c r="S13" s="9">
        <v>411.5</v>
      </c>
      <c r="T13" s="9">
        <v>416.1</v>
      </c>
      <c r="U13" s="9">
        <v>4.5999999999999996</v>
      </c>
      <c r="V13" s="9"/>
      <c r="W13" s="9"/>
    </row>
    <row r="14" spans="1:23" ht="15">
      <c r="A14" s="14" t="s">
        <v>34</v>
      </c>
      <c r="B14" s="9">
        <v>13</v>
      </c>
      <c r="C14" s="13">
        <v>284.08</v>
      </c>
      <c r="D14" s="9">
        <v>35.93</v>
      </c>
      <c r="E14" s="13">
        <v>320.01</v>
      </c>
      <c r="F14" s="13">
        <v>312.41000000000003</v>
      </c>
      <c r="G14" s="9">
        <v>28.33</v>
      </c>
      <c r="H14" s="9">
        <v>26.8</v>
      </c>
      <c r="I14" s="9">
        <v>3</v>
      </c>
      <c r="J14" s="9">
        <v>116.83</v>
      </c>
      <c r="K14" s="9">
        <v>118.71</v>
      </c>
      <c r="L14" s="9">
        <v>1.8773</v>
      </c>
      <c r="M14" s="9">
        <v>92.28</v>
      </c>
      <c r="N14" s="9">
        <v>94.58</v>
      </c>
      <c r="O14" s="9">
        <v>2.2999999999999998</v>
      </c>
      <c r="P14" s="9">
        <v>86</v>
      </c>
      <c r="Q14" s="9">
        <v>87.13</v>
      </c>
      <c r="R14" s="9">
        <v>1.1299999999999999</v>
      </c>
      <c r="S14" s="9">
        <v>421.5</v>
      </c>
      <c r="T14" s="9">
        <v>426.2</v>
      </c>
      <c r="U14" s="9">
        <v>4.7</v>
      </c>
      <c r="V14" s="9"/>
      <c r="W14" s="9"/>
    </row>
    <row r="15" spans="1:23" ht="15">
      <c r="A15" s="14" t="s">
        <v>35</v>
      </c>
      <c r="B15" s="9">
        <v>14</v>
      </c>
      <c r="C15" s="13">
        <v>273.60000000000002</v>
      </c>
      <c r="D15" s="9">
        <v>54.7</v>
      </c>
      <c r="E15" s="13">
        <v>328.3</v>
      </c>
      <c r="F15" s="13">
        <v>314.22000000000003</v>
      </c>
      <c r="G15" s="9">
        <v>40.619999999999997</v>
      </c>
      <c r="H15" s="9">
        <v>34.700000000000003</v>
      </c>
      <c r="I15" s="9">
        <v>4</v>
      </c>
      <c r="J15" s="9">
        <v>110.31</v>
      </c>
      <c r="K15" s="9">
        <v>112.25</v>
      </c>
      <c r="L15" s="9">
        <v>1.9426000000000001</v>
      </c>
      <c r="M15" s="9">
        <v>91.94</v>
      </c>
      <c r="N15" s="9">
        <v>92.6</v>
      </c>
      <c r="O15" s="9">
        <v>0.66</v>
      </c>
      <c r="P15" s="9">
        <v>88.1</v>
      </c>
      <c r="Q15" s="9">
        <v>88.48</v>
      </c>
      <c r="R15" s="9">
        <v>0.38</v>
      </c>
      <c r="S15" s="9">
        <v>414.2</v>
      </c>
      <c r="T15" s="9">
        <v>421.4</v>
      </c>
      <c r="U15" s="9">
        <v>7.2</v>
      </c>
      <c r="V15" s="9"/>
      <c r="W15" s="9"/>
    </row>
    <row r="16" spans="1:23" ht="15">
      <c r="A16" s="14" t="s">
        <v>36</v>
      </c>
      <c r="B16" s="9">
        <v>16</v>
      </c>
      <c r="C16" s="13">
        <v>274.98</v>
      </c>
      <c r="D16" s="9">
        <v>43.98</v>
      </c>
      <c r="E16" s="13">
        <v>318.95999999999998</v>
      </c>
      <c r="F16" s="13">
        <v>307.89999999999998</v>
      </c>
      <c r="G16" s="9">
        <v>32.92</v>
      </c>
      <c r="H16" s="9">
        <v>33.6</v>
      </c>
      <c r="I16" s="9">
        <v>5</v>
      </c>
      <c r="J16" s="9">
        <v>111.22</v>
      </c>
      <c r="K16" s="9">
        <v>112.8</v>
      </c>
      <c r="L16" s="9">
        <v>1.5837000000000001</v>
      </c>
      <c r="M16" s="9">
        <v>95.35</v>
      </c>
      <c r="N16" s="9">
        <v>96.06</v>
      </c>
      <c r="O16" s="9">
        <v>0.71</v>
      </c>
      <c r="P16" s="9">
        <v>91.28</v>
      </c>
      <c r="Q16" s="9">
        <v>92</v>
      </c>
      <c r="R16" s="9">
        <v>0.72</v>
      </c>
      <c r="S16" s="9">
        <v>411.5</v>
      </c>
      <c r="T16" s="9">
        <v>416.1</v>
      </c>
      <c r="U16" s="9">
        <v>4.5999999999999996</v>
      </c>
      <c r="V16" s="9"/>
      <c r="W16" s="9"/>
    </row>
    <row r="17" spans="1:23" ht="15">
      <c r="A17" s="14" t="s">
        <v>37</v>
      </c>
      <c r="B17" s="9">
        <v>15</v>
      </c>
      <c r="C17" s="13">
        <v>285.74</v>
      </c>
      <c r="D17" s="9">
        <v>58.66</v>
      </c>
      <c r="E17" s="13">
        <v>344.4</v>
      </c>
      <c r="F17" s="13">
        <v>333.72</v>
      </c>
      <c r="G17" s="9">
        <v>47.98</v>
      </c>
      <c r="H17" s="9">
        <v>22.3</v>
      </c>
      <c r="I17" s="9">
        <v>2</v>
      </c>
      <c r="J17" s="9">
        <v>116.08</v>
      </c>
      <c r="K17" s="9">
        <v>118.76</v>
      </c>
      <c r="L17" s="9">
        <v>2.6800999999999999</v>
      </c>
      <c r="M17" s="9">
        <v>94.3</v>
      </c>
      <c r="N17" s="9">
        <v>95.77</v>
      </c>
      <c r="O17" s="9">
        <v>1.47</v>
      </c>
      <c r="P17" s="9">
        <v>85.23</v>
      </c>
      <c r="Q17" s="9">
        <v>86.01</v>
      </c>
      <c r="R17" s="9">
        <v>0.78</v>
      </c>
      <c r="S17" s="9">
        <v>412.1</v>
      </c>
      <c r="T17" s="9">
        <v>415.2</v>
      </c>
      <c r="U17" s="9">
        <v>3.1</v>
      </c>
      <c r="V17" s="9"/>
      <c r="W17" s="9"/>
    </row>
    <row r="18" spans="1:23" ht="15">
      <c r="A18" s="14" t="s">
        <v>38</v>
      </c>
      <c r="B18" s="9">
        <v>1</v>
      </c>
      <c r="C18" s="13">
        <v>260.79000000000002</v>
      </c>
      <c r="D18" s="9">
        <v>15.1</v>
      </c>
      <c r="E18" s="13">
        <v>275.89</v>
      </c>
      <c r="F18" s="13">
        <v>272.88</v>
      </c>
      <c r="G18" s="9">
        <v>12.09</v>
      </c>
      <c r="H18" s="9">
        <v>24.9</v>
      </c>
      <c r="I18" s="9">
        <v>3</v>
      </c>
      <c r="J18" s="9">
        <v>116.83</v>
      </c>
      <c r="K18" s="9">
        <v>117.79</v>
      </c>
      <c r="L18" s="9">
        <v>0.95730000000000004</v>
      </c>
      <c r="M18" s="9">
        <v>92.28</v>
      </c>
      <c r="N18" s="9">
        <v>93.15</v>
      </c>
      <c r="O18" s="9">
        <v>0.87</v>
      </c>
      <c r="P18" s="9">
        <v>86</v>
      </c>
      <c r="Q18" s="9">
        <v>86.14</v>
      </c>
      <c r="R18" s="9">
        <v>0.14000000000000001</v>
      </c>
      <c r="S18" s="9">
        <v>82.54</v>
      </c>
      <c r="T18" s="9">
        <v>83.13</v>
      </c>
      <c r="U18" s="9">
        <v>0.59</v>
      </c>
      <c r="V18" s="9"/>
      <c r="W18" s="9"/>
    </row>
    <row r="19" spans="1:23" ht="15">
      <c r="A19" s="15" t="s">
        <v>39</v>
      </c>
      <c r="B19" s="9">
        <v>2</v>
      </c>
      <c r="C19" s="13">
        <v>260.75</v>
      </c>
      <c r="D19" s="9">
        <v>15.48</v>
      </c>
      <c r="E19" s="13">
        <v>276.23</v>
      </c>
      <c r="F19" s="13">
        <v>273.14</v>
      </c>
      <c r="G19" s="9">
        <v>12.39</v>
      </c>
      <c r="H19" s="9">
        <v>24.9</v>
      </c>
      <c r="I19" s="9">
        <v>4</v>
      </c>
      <c r="J19" s="9">
        <v>110.31</v>
      </c>
      <c r="K19" s="9">
        <v>111.07</v>
      </c>
      <c r="L19" s="9">
        <v>0.76259999999999994</v>
      </c>
      <c r="M19" s="9">
        <v>91.94</v>
      </c>
      <c r="N19" s="9">
        <v>92.82</v>
      </c>
      <c r="O19" s="9">
        <v>0.88</v>
      </c>
      <c r="P19" s="9">
        <v>88.1</v>
      </c>
      <c r="Q19" s="9">
        <v>88.34</v>
      </c>
      <c r="R19" s="9">
        <v>0.24</v>
      </c>
      <c r="S19" s="9">
        <v>82.87</v>
      </c>
      <c r="T19" s="9">
        <v>82.89</v>
      </c>
      <c r="U19" s="9">
        <v>0.02</v>
      </c>
      <c r="V19" s="9"/>
      <c r="W19" s="9"/>
    </row>
    <row r="20" spans="1:23" ht="15">
      <c r="A20" s="16" t="s">
        <v>40</v>
      </c>
      <c r="B20" s="9">
        <v>3</v>
      </c>
      <c r="C20" s="13">
        <v>273.51</v>
      </c>
      <c r="D20" s="9">
        <v>15.35</v>
      </c>
      <c r="E20" s="13">
        <v>288.86</v>
      </c>
      <c r="F20" s="13">
        <v>284.8</v>
      </c>
      <c r="G20" s="9">
        <v>11.29</v>
      </c>
      <c r="H20" s="9">
        <v>36</v>
      </c>
      <c r="I20" s="9">
        <v>5</v>
      </c>
      <c r="J20" s="9">
        <v>111.22</v>
      </c>
      <c r="K20" s="9">
        <v>111.65</v>
      </c>
      <c r="L20" s="9">
        <v>0.43369999999999997</v>
      </c>
      <c r="M20" s="9">
        <v>94.3</v>
      </c>
      <c r="N20" s="9">
        <v>94.87</v>
      </c>
      <c r="O20" s="9">
        <v>0.56999999999999995</v>
      </c>
      <c r="P20" s="9">
        <v>85.23</v>
      </c>
      <c r="Q20" s="9">
        <v>85.5</v>
      </c>
      <c r="R20" s="9">
        <v>0.27</v>
      </c>
      <c r="S20" s="9">
        <v>85.19</v>
      </c>
      <c r="T20" s="9">
        <v>86.22</v>
      </c>
      <c r="U20" s="9">
        <v>1.03</v>
      </c>
      <c r="V20" s="9"/>
      <c r="W20" s="9"/>
    </row>
    <row r="21" spans="1:23" ht="15">
      <c r="A21" s="16" t="s">
        <v>41</v>
      </c>
      <c r="B21" s="9">
        <v>4</v>
      </c>
      <c r="C21" s="13">
        <v>273.83999999999997</v>
      </c>
      <c r="D21" s="9">
        <v>15.62</v>
      </c>
      <c r="E21" s="13">
        <v>289.45999999999998</v>
      </c>
      <c r="F21" s="13">
        <v>285.81</v>
      </c>
      <c r="G21" s="9">
        <v>11.97</v>
      </c>
      <c r="H21" s="9">
        <v>30.5</v>
      </c>
      <c r="I21" s="9">
        <v>2</v>
      </c>
      <c r="J21" s="9">
        <v>116.08</v>
      </c>
      <c r="K21" s="9">
        <v>116.57</v>
      </c>
      <c r="L21" s="9">
        <v>0.49009999999999998</v>
      </c>
      <c r="M21" s="9">
        <v>95.35</v>
      </c>
      <c r="N21" s="9">
        <v>95.84</v>
      </c>
      <c r="O21" s="9">
        <v>0.49</v>
      </c>
      <c r="P21" s="9">
        <v>91.28</v>
      </c>
      <c r="Q21" s="9">
        <v>91.51</v>
      </c>
      <c r="R21" s="9">
        <v>0.23</v>
      </c>
      <c r="S21" s="9">
        <v>95.35</v>
      </c>
      <c r="T21" s="9">
        <v>95.85</v>
      </c>
      <c r="U21" s="9">
        <v>0.5</v>
      </c>
      <c r="V21" s="9"/>
      <c r="W21" s="9"/>
    </row>
    <row r="22" spans="1:23" ht="15">
      <c r="A22" s="16" t="s">
        <v>42</v>
      </c>
      <c r="B22" s="9">
        <v>5</v>
      </c>
      <c r="C22" s="13">
        <v>275.45</v>
      </c>
      <c r="D22" s="9">
        <v>16.12</v>
      </c>
      <c r="E22" s="13">
        <v>291.57</v>
      </c>
      <c r="F22" s="13">
        <v>287.41000000000003</v>
      </c>
      <c r="G22" s="9">
        <v>11.96</v>
      </c>
      <c r="H22" s="9">
        <v>34.799999999999997</v>
      </c>
      <c r="I22" s="9">
        <v>3</v>
      </c>
      <c r="J22" s="9">
        <v>116.83</v>
      </c>
      <c r="K22" s="9">
        <v>117.37</v>
      </c>
      <c r="L22" s="9">
        <v>0.5373</v>
      </c>
      <c r="M22" s="9">
        <v>91.94</v>
      </c>
      <c r="N22" s="9">
        <v>92.66</v>
      </c>
      <c r="O22" s="9">
        <v>0.72</v>
      </c>
      <c r="P22" s="9">
        <v>88.1</v>
      </c>
      <c r="Q22" s="9">
        <v>88.47</v>
      </c>
      <c r="R22" s="9">
        <v>0.37</v>
      </c>
      <c r="S22" s="9">
        <v>412.1</v>
      </c>
      <c r="T22" s="9">
        <v>413.8</v>
      </c>
      <c r="U22" s="9">
        <v>1.7</v>
      </c>
      <c r="V22" s="9"/>
      <c r="W22" s="9"/>
    </row>
    <row r="23" spans="1:23" ht="15">
      <c r="A23" s="16" t="s">
        <v>43</v>
      </c>
      <c r="B23" s="9">
        <v>6</v>
      </c>
      <c r="C23" s="13">
        <v>274.92</v>
      </c>
      <c r="D23" s="9">
        <v>15.62</v>
      </c>
      <c r="E23" s="13">
        <v>290.54000000000002</v>
      </c>
      <c r="F23" s="13">
        <v>287.89</v>
      </c>
      <c r="G23" s="9">
        <v>12.97</v>
      </c>
      <c r="H23" s="9">
        <v>20.399999999999999</v>
      </c>
      <c r="I23" s="9">
        <v>4</v>
      </c>
      <c r="J23" s="9">
        <v>110.31</v>
      </c>
      <c r="K23" s="9">
        <v>110.82</v>
      </c>
      <c r="L23" s="9">
        <v>0.51259999999999994</v>
      </c>
      <c r="M23" s="9">
        <v>92.28</v>
      </c>
      <c r="N23" s="9">
        <v>93.08</v>
      </c>
      <c r="O23" s="9">
        <v>0.8</v>
      </c>
      <c r="P23" s="9">
        <v>86</v>
      </c>
      <c r="Q23" s="9">
        <v>86.29</v>
      </c>
      <c r="R23" s="9">
        <v>0.28999999999999998</v>
      </c>
      <c r="S23" s="9">
        <v>411.5</v>
      </c>
      <c r="T23" s="9">
        <v>412.7</v>
      </c>
      <c r="U23" s="9">
        <v>1.2</v>
      </c>
      <c r="V23" s="9"/>
      <c r="W23" s="9"/>
    </row>
    <row r="24" spans="1:23" ht="15">
      <c r="A24" s="16" t="s">
        <v>44</v>
      </c>
      <c r="B24" s="9">
        <v>7</v>
      </c>
      <c r="C24" s="13">
        <v>285.77999999999997</v>
      </c>
      <c r="D24" s="9">
        <v>15.38</v>
      </c>
      <c r="E24" s="13">
        <v>301.16000000000003</v>
      </c>
      <c r="F24" s="13">
        <v>298.24</v>
      </c>
      <c r="G24" s="9">
        <v>12.46</v>
      </c>
      <c r="H24" s="9">
        <v>23.4</v>
      </c>
      <c r="I24" s="9">
        <v>2</v>
      </c>
      <c r="J24" s="9">
        <v>116.08</v>
      </c>
      <c r="K24" s="9">
        <v>116.74</v>
      </c>
      <c r="L24" s="9">
        <v>0.66010000000000002</v>
      </c>
      <c r="M24" s="9">
        <v>93.63</v>
      </c>
      <c r="N24" s="9">
        <v>94.52</v>
      </c>
      <c r="O24" s="9">
        <v>0.89</v>
      </c>
      <c r="P24" s="9">
        <v>91.09</v>
      </c>
      <c r="Q24" s="9">
        <v>91.25</v>
      </c>
      <c r="R24" s="9">
        <v>0.16</v>
      </c>
      <c r="S24" s="9">
        <v>82.54</v>
      </c>
      <c r="T24" s="9">
        <v>83.18</v>
      </c>
      <c r="U24" s="9">
        <v>0.64</v>
      </c>
      <c r="V24" s="9"/>
      <c r="W24" s="9"/>
    </row>
    <row r="25" spans="1:23" ht="15">
      <c r="A25" s="17" t="s">
        <v>45</v>
      </c>
      <c r="B25" s="9">
        <v>8</v>
      </c>
      <c r="C25" s="13">
        <v>284.64999999999998</v>
      </c>
      <c r="D25" s="9">
        <v>15.86</v>
      </c>
      <c r="E25" s="13">
        <v>300.51</v>
      </c>
      <c r="F25" s="13">
        <v>298.04000000000002</v>
      </c>
      <c r="G25" s="9">
        <v>13.39</v>
      </c>
      <c r="H25" s="9">
        <v>18.399999999999999</v>
      </c>
      <c r="I25" s="9">
        <v>3</v>
      </c>
      <c r="J25" s="9">
        <v>116.83</v>
      </c>
      <c r="K25" s="9">
        <v>117.5</v>
      </c>
      <c r="L25" s="9">
        <v>0.6673</v>
      </c>
      <c r="M25" s="9">
        <v>91.54</v>
      </c>
      <c r="N25" s="9">
        <v>92.4</v>
      </c>
      <c r="O25" s="9">
        <v>0.86</v>
      </c>
      <c r="P25" s="9">
        <v>90.76</v>
      </c>
      <c r="Q25" s="9">
        <v>91.06</v>
      </c>
      <c r="R25" s="9">
        <v>0.3</v>
      </c>
      <c r="S25" s="9">
        <v>82.39</v>
      </c>
      <c r="T25" s="9">
        <v>82.98</v>
      </c>
      <c r="U25" s="9">
        <v>0.59</v>
      </c>
      <c r="V25" s="9"/>
      <c r="W25" s="9"/>
    </row>
    <row r="26" spans="1:23" ht="15">
      <c r="A26" s="16" t="s">
        <v>46</v>
      </c>
      <c r="B26" s="9">
        <v>9</v>
      </c>
      <c r="C26" s="13">
        <v>275.18</v>
      </c>
      <c r="D26" s="9">
        <v>15.76</v>
      </c>
      <c r="E26" s="13">
        <v>290.94</v>
      </c>
      <c r="F26" s="13">
        <v>285.08999999999997</v>
      </c>
      <c r="G26" s="9">
        <v>9.91</v>
      </c>
      <c r="H26" s="9">
        <v>59</v>
      </c>
      <c r="I26" s="9">
        <v>4</v>
      </c>
      <c r="J26" s="9">
        <v>110.31</v>
      </c>
      <c r="K26" s="9">
        <v>111.05</v>
      </c>
      <c r="L26" s="9">
        <v>0.74260000000000004</v>
      </c>
      <c r="M26" s="9">
        <v>91.49</v>
      </c>
      <c r="N26" s="9">
        <v>92.1</v>
      </c>
      <c r="O26" s="9">
        <v>0.61</v>
      </c>
      <c r="P26" s="9">
        <v>87.89</v>
      </c>
      <c r="Q26" s="9">
        <v>88.23</v>
      </c>
      <c r="R26" s="9">
        <v>0.34</v>
      </c>
      <c r="S26" s="9">
        <v>81.599999999999994</v>
      </c>
      <c r="T26" s="9">
        <v>82.53</v>
      </c>
      <c r="U26" s="9">
        <v>0.93</v>
      </c>
      <c r="V26" s="9"/>
      <c r="W26" s="9"/>
    </row>
    <row r="27" spans="1:23" ht="15">
      <c r="A27" s="16" t="s">
        <v>47</v>
      </c>
      <c r="B27" s="9">
        <v>10</v>
      </c>
      <c r="C27" s="13">
        <v>274.54000000000002</v>
      </c>
      <c r="D27" s="9">
        <v>15.76</v>
      </c>
      <c r="E27" s="13">
        <v>290.3</v>
      </c>
      <c r="F27" s="13">
        <v>285.60000000000002</v>
      </c>
      <c r="G27" s="9">
        <v>11.06</v>
      </c>
      <c r="H27" s="9">
        <v>42.5</v>
      </c>
      <c r="I27" s="9">
        <v>5</v>
      </c>
      <c r="J27" s="9">
        <v>111.22</v>
      </c>
      <c r="K27" s="9">
        <v>111.98</v>
      </c>
      <c r="L27" s="9">
        <v>0.76370000000000005</v>
      </c>
      <c r="M27" s="9">
        <v>94.3</v>
      </c>
      <c r="N27" s="9">
        <v>94.73</v>
      </c>
      <c r="O27" s="9">
        <v>0.43</v>
      </c>
      <c r="P27" s="9">
        <v>85.23</v>
      </c>
      <c r="Q27" s="9">
        <v>85.44</v>
      </c>
      <c r="R27" s="9">
        <v>0.21</v>
      </c>
      <c r="S27" s="9">
        <v>85.14</v>
      </c>
      <c r="T27" s="9">
        <v>85.86</v>
      </c>
      <c r="U27" s="9">
        <v>0.72</v>
      </c>
      <c r="V27" s="9"/>
      <c r="W27" s="9"/>
    </row>
    <row r="28" spans="1:23" ht="15">
      <c r="A28" s="13" t="s">
        <v>48</v>
      </c>
      <c r="B28" s="9">
        <v>11</v>
      </c>
      <c r="C28" s="13">
        <v>260.52999999999997</v>
      </c>
      <c r="D28" s="9">
        <v>15.62</v>
      </c>
      <c r="E28" s="13">
        <v>276.14999999999998</v>
      </c>
      <c r="F28" s="13">
        <v>271.77</v>
      </c>
      <c r="G28" s="9">
        <v>11.24</v>
      </c>
      <c r="H28" s="9">
        <v>39</v>
      </c>
      <c r="I28" s="9">
        <v>2</v>
      </c>
      <c r="J28" s="9">
        <v>116.08</v>
      </c>
      <c r="K28" s="9">
        <v>116.92</v>
      </c>
      <c r="L28" s="9">
        <v>0.84009999999999996</v>
      </c>
      <c r="M28" s="9">
        <v>93.63</v>
      </c>
      <c r="N28" s="9">
        <v>94.53</v>
      </c>
      <c r="O28" s="9">
        <v>0.9</v>
      </c>
      <c r="P28" s="9">
        <v>91.09</v>
      </c>
      <c r="Q28" s="9">
        <v>91.21</v>
      </c>
      <c r="R28" s="9">
        <v>0.12</v>
      </c>
      <c r="S28" s="9">
        <v>82.54</v>
      </c>
      <c r="T28" s="9">
        <v>83.17</v>
      </c>
      <c r="U28" s="9">
        <v>0.63</v>
      </c>
      <c r="V28" s="9"/>
      <c r="W28" s="9"/>
    </row>
    <row r="29" spans="1:23" ht="15">
      <c r="A29" s="16" t="s">
        <v>49</v>
      </c>
      <c r="B29" s="9">
        <v>12</v>
      </c>
      <c r="C29" s="13">
        <v>273</v>
      </c>
      <c r="D29" s="9">
        <v>16.010000000000002</v>
      </c>
      <c r="E29" s="13">
        <v>289.01</v>
      </c>
      <c r="F29" s="13">
        <v>286.33999999999997</v>
      </c>
      <c r="G29" s="9">
        <v>13.34</v>
      </c>
      <c r="H29" s="9">
        <v>20</v>
      </c>
      <c r="I29" s="9">
        <v>3</v>
      </c>
      <c r="J29" s="9">
        <v>116.83</v>
      </c>
      <c r="K29" s="9">
        <v>117.89</v>
      </c>
      <c r="L29" s="9">
        <v>1.0572999999999999</v>
      </c>
      <c r="M29" s="9">
        <v>91.54</v>
      </c>
      <c r="N29" s="9">
        <v>92.08</v>
      </c>
      <c r="O29" s="9">
        <v>0.54</v>
      </c>
      <c r="P29" s="9">
        <v>90.76</v>
      </c>
      <c r="Q29" s="9">
        <v>90.93</v>
      </c>
      <c r="R29" s="9">
        <v>0.17</v>
      </c>
      <c r="S29" s="9">
        <v>82.39</v>
      </c>
      <c r="T29" s="9">
        <v>82.89</v>
      </c>
      <c r="U29" s="9">
        <v>0.5</v>
      </c>
      <c r="V29" s="9"/>
      <c r="W29" s="9"/>
    </row>
    <row r="30" spans="1:23" ht="15">
      <c r="A30" s="16" t="s">
        <v>50</v>
      </c>
      <c r="B30" s="9">
        <v>13</v>
      </c>
      <c r="C30" s="13">
        <v>284.08</v>
      </c>
      <c r="D30" s="9">
        <v>15.11</v>
      </c>
      <c r="E30" s="13">
        <v>299.19</v>
      </c>
      <c r="F30" s="13">
        <v>295.92</v>
      </c>
      <c r="G30" s="9">
        <v>11.84</v>
      </c>
      <c r="H30" s="9">
        <v>27.6</v>
      </c>
      <c r="I30" s="9">
        <v>4</v>
      </c>
      <c r="J30" s="9">
        <v>110.31</v>
      </c>
      <c r="K30" s="9">
        <v>111.41</v>
      </c>
      <c r="L30" s="9">
        <v>1.1026</v>
      </c>
      <c r="M30" s="9">
        <v>94.3</v>
      </c>
      <c r="N30" s="9">
        <v>94.48</v>
      </c>
      <c r="O30" s="9">
        <v>0.18</v>
      </c>
      <c r="P30" s="9">
        <v>85.23</v>
      </c>
      <c r="Q30" s="9">
        <v>85.31</v>
      </c>
      <c r="R30" s="9">
        <v>0.08</v>
      </c>
      <c r="S30" s="9">
        <v>85.19</v>
      </c>
      <c r="T30" s="9">
        <v>85.61</v>
      </c>
      <c r="U30" s="9">
        <v>0.42</v>
      </c>
      <c r="V30" s="9"/>
      <c r="W30" s="9"/>
    </row>
    <row r="31" spans="1:23" ht="15">
      <c r="A31" s="17" t="s">
        <v>51</v>
      </c>
      <c r="B31" s="9">
        <v>14</v>
      </c>
      <c r="C31" s="13">
        <v>273.60000000000002</v>
      </c>
      <c r="D31" s="9">
        <v>15.02</v>
      </c>
      <c r="E31" s="13">
        <v>288.62</v>
      </c>
      <c r="F31" s="13">
        <v>284.22000000000003</v>
      </c>
      <c r="G31" s="9">
        <v>10.62</v>
      </c>
      <c r="H31" s="9">
        <v>41.4</v>
      </c>
      <c r="I31" s="9">
        <v>5</v>
      </c>
      <c r="J31" s="9">
        <v>111.22</v>
      </c>
      <c r="K31" s="9">
        <v>112.1</v>
      </c>
      <c r="L31" s="9">
        <v>0.88370000000000004</v>
      </c>
      <c r="M31" s="9">
        <v>91.49</v>
      </c>
      <c r="N31" s="9">
        <v>91.91</v>
      </c>
      <c r="O31" s="9">
        <v>0.42</v>
      </c>
      <c r="P31" s="9">
        <v>87.89</v>
      </c>
      <c r="Q31" s="9">
        <v>88.06</v>
      </c>
      <c r="R31" s="9">
        <v>0.17</v>
      </c>
      <c r="S31" s="9">
        <v>81.599999999999994</v>
      </c>
      <c r="T31" s="9">
        <v>82.22</v>
      </c>
      <c r="U31" s="9">
        <v>0.62</v>
      </c>
      <c r="V31" s="9"/>
      <c r="W31" s="9"/>
    </row>
    <row r="32" spans="1:23" ht="15">
      <c r="A32" s="16" t="s">
        <v>52</v>
      </c>
      <c r="B32" s="9">
        <v>15</v>
      </c>
      <c r="C32" s="13">
        <v>285.74</v>
      </c>
      <c r="D32" s="9">
        <v>15.18</v>
      </c>
      <c r="E32" s="13">
        <v>300.92</v>
      </c>
      <c r="F32" s="13">
        <v>297.20999999999998</v>
      </c>
      <c r="G32" s="9">
        <v>11.47</v>
      </c>
      <c r="H32" s="9">
        <v>32.299999999999997</v>
      </c>
      <c r="I32" s="9">
        <v>2</v>
      </c>
      <c r="J32" s="9">
        <v>116.08</v>
      </c>
      <c r="K32" s="9">
        <v>116.66</v>
      </c>
      <c r="L32" s="9">
        <v>0.58009999999999995</v>
      </c>
      <c r="M32" s="9">
        <v>92.28</v>
      </c>
      <c r="N32" s="9">
        <v>94.2</v>
      </c>
      <c r="O32" s="9">
        <v>1.92</v>
      </c>
      <c r="P32" s="9">
        <v>86</v>
      </c>
      <c r="Q32" s="9">
        <v>86.66</v>
      </c>
      <c r="R32" s="9">
        <v>0.66</v>
      </c>
      <c r="S32" s="9">
        <v>85.89</v>
      </c>
      <c r="T32" s="9">
        <v>86.59</v>
      </c>
      <c r="U32" s="9">
        <v>0.7</v>
      </c>
      <c r="V32" s="9"/>
      <c r="W32" s="9"/>
    </row>
    <row r="33" spans="1:23" ht="15">
      <c r="A33" s="16" t="s">
        <v>53</v>
      </c>
      <c r="B33" s="9">
        <v>16</v>
      </c>
      <c r="C33" s="13">
        <v>274.98</v>
      </c>
      <c r="D33" s="9">
        <v>15.55</v>
      </c>
      <c r="E33" s="13">
        <v>290.52999999999997</v>
      </c>
      <c r="F33" s="13">
        <v>286.35000000000002</v>
      </c>
      <c r="G33" s="9">
        <v>11.37</v>
      </c>
      <c r="H33" s="9">
        <v>36.799999999999997</v>
      </c>
      <c r="I33" s="9">
        <v>3</v>
      </c>
      <c r="J33" s="9">
        <v>116.83</v>
      </c>
      <c r="K33" s="9">
        <v>117.35</v>
      </c>
      <c r="L33" s="9">
        <v>0.51729999999999998</v>
      </c>
      <c r="M33" s="9">
        <v>91.94</v>
      </c>
      <c r="N33" s="9">
        <v>92.61</v>
      </c>
      <c r="O33" s="9">
        <v>0.67</v>
      </c>
      <c r="P33" s="9">
        <v>88.1</v>
      </c>
      <c r="Q33" s="9">
        <v>88.55</v>
      </c>
      <c r="R33" s="9">
        <v>0.45</v>
      </c>
      <c r="S33" s="9">
        <v>81.42</v>
      </c>
      <c r="T33" s="9">
        <v>82.46</v>
      </c>
      <c r="U33" s="9">
        <v>1.04</v>
      </c>
      <c r="V33" s="9"/>
      <c r="W33" s="9"/>
    </row>
    <row r="34" spans="1:23" ht="15">
      <c r="A34" s="16" t="s">
        <v>54</v>
      </c>
      <c r="B34" s="9">
        <v>1</v>
      </c>
      <c r="C34" s="13">
        <v>260.79000000000002</v>
      </c>
      <c r="D34" s="9">
        <v>15.2</v>
      </c>
      <c r="E34" s="13">
        <v>275.95</v>
      </c>
      <c r="F34" s="13">
        <v>271.2</v>
      </c>
      <c r="G34" s="9">
        <v>10.41</v>
      </c>
      <c r="H34" s="9">
        <v>46</v>
      </c>
      <c r="I34" s="9">
        <v>2</v>
      </c>
      <c r="J34" s="9">
        <v>116.08</v>
      </c>
      <c r="K34" s="9">
        <v>116.75</v>
      </c>
      <c r="L34" s="9">
        <v>0.67010000000000003</v>
      </c>
      <c r="M34" s="9">
        <v>93.63</v>
      </c>
      <c r="N34" s="9">
        <v>94.27</v>
      </c>
      <c r="O34" s="9">
        <v>0.64</v>
      </c>
      <c r="P34" s="9">
        <v>90.76</v>
      </c>
      <c r="Q34" s="9">
        <v>91.12</v>
      </c>
      <c r="R34" s="9">
        <v>0.36</v>
      </c>
      <c r="S34" s="9">
        <v>82.59</v>
      </c>
      <c r="T34" s="9">
        <v>83.85</v>
      </c>
      <c r="U34" s="9">
        <v>1.26</v>
      </c>
      <c r="V34" s="9"/>
      <c r="W34" s="9"/>
    </row>
    <row r="35" spans="1:23" ht="15">
      <c r="A35" s="16" t="s">
        <v>55</v>
      </c>
      <c r="B35" s="9">
        <v>2</v>
      </c>
      <c r="C35" s="13">
        <v>260.75</v>
      </c>
      <c r="D35" s="9">
        <v>10.15</v>
      </c>
      <c r="E35" s="13">
        <v>283.66000000000003</v>
      </c>
      <c r="F35" s="13">
        <v>269.74</v>
      </c>
      <c r="G35" s="9">
        <v>8.99</v>
      </c>
      <c r="H35" s="9">
        <v>12.9</v>
      </c>
      <c r="I35" s="9">
        <v>3</v>
      </c>
      <c r="J35" s="9">
        <v>116.83</v>
      </c>
      <c r="K35" s="9">
        <v>117.68</v>
      </c>
      <c r="L35" s="9">
        <v>0.84730000000000005</v>
      </c>
      <c r="M35" s="9">
        <v>91.94</v>
      </c>
      <c r="N35" s="9">
        <v>92.46</v>
      </c>
      <c r="O35" s="9">
        <v>0.52</v>
      </c>
      <c r="P35" s="9">
        <v>86</v>
      </c>
      <c r="Q35" s="9">
        <v>86.15</v>
      </c>
      <c r="R35" s="9">
        <v>0.15</v>
      </c>
      <c r="S35" s="9">
        <v>82.39</v>
      </c>
      <c r="T35" s="9">
        <v>82.88</v>
      </c>
      <c r="U35" s="9">
        <v>0.49</v>
      </c>
      <c r="V35" s="9"/>
      <c r="W35" s="9"/>
    </row>
    <row r="36" spans="1:23" ht="15">
      <c r="A36" s="16" t="s">
        <v>56</v>
      </c>
      <c r="B36" s="9">
        <v>3</v>
      </c>
      <c r="C36" s="13">
        <v>273.51</v>
      </c>
      <c r="D36" s="9">
        <v>15.29</v>
      </c>
      <c r="E36" s="13">
        <v>289.13</v>
      </c>
      <c r="F36" s="13">
        <v>285.08</v>
      </c>
      <c r="G36" s="9">
        <v>11.57</v>
      </c>
      <c r="H36" s="9">
        <v>32.200000000000003</v>
      </c>
      <c r="I36" s="9">
        <v>4</v>
      </c>
      <c r="J36" s="9">
        <v>110.31</v>
      </c>
      <c r="K36" s="9">
        <v>111.15</v>
      </c>
      <c r="L36" s="9">
        <v>0.84260000000000002</v>
      </c>
      <c r="M36" s="9">
        <v>92.28</v>
      </c>
      <c r="N36" s="9">
        <v>92.79</v>
      </c>
      <c r="O36" s="9">
        <v>0.51</v>
      </c>
      <c r="P36" s="9">
        <v>88.1</v>
      </c>
      <c r="Q36" s="9">
        <v>88.48</v>
      </c>
      <c r="R36" s="9">
        <v>0.38</v>
      </c>
      <c r="S36" s="9">
        <v>81.599999999999994</v>
      </c>
      <c r="T36" s="9">
        <v>82.63</v>
      </c>
      <c r="U36" s="9">
        <v>1.03</v>
      </c>
      <c r="V36" s="9"/>
      <c r="W36" s="9"/>
    </row>
    <row r="37" spans="1:23" ht="15">
      <c r="A37" s="16" t="s">
        <v>57</v>
      </c>
      <c r="B37" s="9">
        <v>4</v>
      </c>
      <c r="C37" s="13">
        <v>273.83999999999997</v>
      </c>
      <c r="D37" s="9">
        <v>15.76</v>
      </c>
      <c r="E37" s="13">
        <v>15.76</v>
      </c>
      <c r="F37" s="13">
        <v>285.83999999999997</v>
      </c>
      <c r="G37" s="9">
        <v>12</v>
      </c>
      <c r="H37" s="9">
        <v>31.3</v>
      </c>
      <c r="I37" s="9">
        <v>5</v>
      </c>
      <c r="J37" s="9">
        <v>111.22</v>
      </c>
      <c r="K37" s="9">
        <v>111.97</v>
      </c>
      <c r="L37" s="9">
        <v>0.75370000000000004</v>
      </c>
      <c r="M37" s="9">
        <v>94.3</v>
      </c>
      <c r="N37" s="9">
        <v>94.81</v>
      </c>
      <c r="O37" s="9">
        <v>0</v>
      </c>
      <c r="P37" s="9">
        <v>85.23</v>
      </c>
      <c r="Q37" s="9">
        <v>85.6</v>
      </c>
      <c r="R37" s="9">
        <v>0.37</v>
      </c>
      <c r="S37" s="9">
        <v>85.19</v>
      </c>
      <c r="T37" s="9">
        <v>86.24</v>
      </c>
      <c r="U37" s="9">
        <v>1.05</v>
      </c>
      <c r="V37" s="9"/>
      <c r="W37" s="9"/>
    </row>
    <row r="38" spans="1:23" ht="15">
      <c r="A38" s="9"/>
      <c r="B38" s="9"/>
      <c r="C38" s="13" t="s">
        <v>58</v>
      </c>
      <c r="D38" s="9"/>
      <c r="E38" s="13" t="s">
        <v>58</v>
      </c>
      <c r="F38" s="13" t="s">
        <v>58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5"/>
    <row r="40" spans="1:23" ht="15"/>
  </sheetData>
  <conditionalFormatting sqref="A39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43E3-684B-4A9A-BBEF-9C5399092B24}">
  <dimension ref="A3:W4"/>
  <sheetViews>
    <sheetView topLeftCell="A3" workbookViewId="0">
      <selection activeCell="G4" sqref="G4"/>
    </sheetView>
  </sheetViews>
  <sheetFormatPr defaultRowHeight="14.45"/>
  <cols>
    <col min="1" max="1" width="13.85546875" bestFit="1" customWidth="1"/>
  </cols>
  <sheetData>
    <row r="3" spans="1:23" s="3" customFormat="1" ht="72.95">
      <c r="A3" s="4" t="s">
        <v>0</v>
      </c>
      <c r="B3" s="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/>
      <c r="W3" s="6" t="s">
        <v>21</v>
      </c>
    </row>
    <row r="4" spans="1:23" s="3" customFormat="1">
      <c r="A4" s="5" t="s">
        <v>25</v>
      </c>
      <c r="B4" s="3">
        <v>4</v>
      </c>
      <c r="C4" s="3">
        <v>273.83999999999997</v>
      </c>
      <c r="D4" s="3">
        <v>10</v>
      </c>
      <c r="E4" s="3">
        <f>D4+C4</f>
        <v>283.83999999999997</v>
      </c>
      <c r="F4" s="3">
        <v>280.54000000000002</v>
      </c>
      <c r="G4" s="3">
        <v>7.5</v>
      </c>
      <c r="H4" s="2">
        <f>((D4-G4)/G4)*100</f>
        <v>33.333333333333329</v>
      </c>
      <c r="I4" s="2">
        <v>4</v>
      </c>
      <c r="J4" s="3">
        <v>110.3074</v>
      </c>
      <c r="K4" s="3">
        <v>113.54689999999999</v>
      </c>
      <c r="L4" s="3">
        <f t="shared" ref="L4" si="0">K4-J4</f>
        <v>3.2394999999999925</v>
      </c>
      <c r="M4" s="3">
        <v>90.71</v>
      </c>
      <c r="N4" s="3">
        <v>91.287499999999994</v>
      </c>
      <c r="O4" s="3">
        <f t="shared" ref="O4" si="1">N4-M4</f>
        <v>0.57750000000000057</v>
      </c>
      <c r="P4" s="3">
        <v>92.52</v>
      </c>
      <c r="Q4" s="3">
        <v>92.677700000000002</v>
      </c>
      <c r="R4" s="3">
        <f t="shared" ref="R4" si="2">Q4-P4</f>
        <v>0.1577000000000055</v>
      </c>
      <c r="S4" s="3">
        <v>85.51</v>
      </c>
      <c r="T4" s="3">
        <v>85.974100000000007</v>
      </c>
      <c r="U4" s="3">
        <f t="shared" ref="U4" si="3">T4-S4</f>
        <v>0.46410000000000196</v>
      </c>
      <c r="W4" s="7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832923-0530-48F6-A3A3-BC5C89AA1DB2}"/>
</file>

<file path=customXml/itemProps2.xml><?xml version="1.0" encoding="utf-8"?>
<ds:datastoreItem xmlns:ds="http://schemas.openxmlformats.org/officeDocument/2006/customXml" ds:itemID="{785EA59A-0449-4158-ACE4-DA5EE4870564}"/>
</file>

<file path=customXml/itemProps3.xml><?xml version="1.0" encoding="utf-8"?>
<ds:datastoreItem xmlns:ds="http://schemas.openxmlformats.org/officeDocument/2006/customXml" ds:itemID="{BD8BDE24-42FD-43EF-9F4C-B891FB306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Garcia, Marci R</cp:lastModifiedBy>
  <cp:revision/>
  <dcterms:created xsi:type="dcterms:W3CDTF">2026-04-15T16:41:02Z</dcterms:created>
  <dcterms:modified xsi:type="dcterms:W3CDTF">2026-06-01T18:31:31Z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
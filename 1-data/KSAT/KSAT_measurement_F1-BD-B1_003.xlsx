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2" documentId="13_ncr:1_{2DD567CE-26BB-47FA-B793-D569F59C7A56}" xr6:coauthVersionLast="47" xr6:coauthVersionMax="47" xr10:uidLastSave="{154DDE5D-A147-42BC-A0B5-52E37EB54536}"/>
  <bookViews>
    <workbookView xWindow="4140" yWindow="153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<sst xmlns="http://schemas.openxmlformats.org/spreadsheetml/2006/main" count="108" uniqueCount="108">
  <si>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</si>
  <si>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</si>
  <si>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</si>
  <si>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</si>
  <si>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</si>
  <si>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</si>
  <si>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</si>
  <si>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</si>
  <si>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</si>
  <si>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</si>
  <si>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</si>
  <si>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</si>
  <si>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KSAT_measurement_F2-BD-B3_003</t>
  </si>
  <si>
    <t>Additional comments</t>
  </si>
  <si>
    <t>**** F1-BD-B1  - was mislabled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</si>
  <si>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</si>
  <si>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</si>
  <si>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</si>
  <si>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</si>
  <si>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</si>
  <si>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</si>
  <si>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</si>
  <si>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</si>
  <si>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</si>
  <si>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</si>
  <si>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</si>
  <si>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</si>
  <si>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</si>
  <si>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</si>
  <si>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</si>
  <si>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</si>
  <si>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</si>
  <si>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</si>
  <si>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</si>
  <si>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</si>
  <si>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</si>
  <si>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</si>
  <si>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</si>
  <si>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</si>
  <si>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</si>
  <si>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</si>
  <si>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</si>
  <si>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</si>
  <si>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</si>
  <si>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</si>
  <si>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</si>
  <si>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</si>
  <si>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</si>
  <si>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</si>
  <si>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</si>
  <si>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</si>
  <si>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</si>
  <si>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</si>
  <si>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</si>
  <si>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</si>
  <si>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</si>
  <si>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</si>
  <si>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</si>
  <si>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</si>
  <si>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</si>
  <si>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</si>
  <si>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</si>
  <si>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</si>
  <si>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</si>
  <si>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</si>
  <si>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</si>
  <si>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11/5/2025 4:17:10 PM</t>
  </si>
  <si>
    <t>Test duration</t>
  </si>
  <si>
    <t>00:21:18</t>
  </si>
  <si>
    <t>RESULT</t>
  </si>
  <si>
    <t>Use auto offset adjustment</t>
  </si>
  <si>
    <t>Max offset adjustment [cm]</t>
  </si>
  <si>
    <t>1</t>
  </si>
  <si>
    <t>Fitting Parameter a [cm]</t>
  </si>
  <si>
    <t>17.69</t>
  </si>
  <si>
    <t>coefficient a of the fitted exponential pressure head decrease function y = a * exp(-b*t)+c, where y is the pressure head in cm and t is time in s</t>
  </si>
  <si>
    <t>Fitting Parameter b [s-1]</t>
  </si>
  <si>
    <t>-8.64E-04</t>
  </si>
  <si>
    <t>coefficient b of the fitted exponential pressure head decrease function y = a * exp(-b*t)+c, where y is the pressure head in cm and t is time in s</t>
  </si>
  <si>
    <t>Fitting Parameter c [cm]</t>
  </si>
  <si>
    <t>-0.2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</si>
  <si>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</si>
  <si>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</si>
  <si>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</si>
  <si>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</si>
  <si>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</si>
  <si>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106.823</t>
  </si>
  <si>
    <t>Saturated hydraulic conductivity [cm/d] of the entire system</t>
  </si>
  <si>
    <t>Ks Total [m/s]</t>
  </si>
  <si>
    <t>1.24E-05</t>
  </si>
  <si>
    <t>Saturated hydraulic conductivity [m/s] of the entire system</t>
  </si>
  <si>
    <t>Ks Soil [cm/d]</t>
  </si>
  <si>
    <t>87.990</t>
  </si>
  <si>
    <t>Saturated hydraulic conductivity [cm/d] of the soil sample itself</t>
  </si>
  <si>
    <t>Ks Soil [m/s]</t>
  </si>
  <si>
    <t>1.02E-05</t>
  </si>
  <si>
    <t>Saturated hydraulic conductivity [m/s] of the soil sample itself</t>
  </si>
  <si>
    <t>84.861</t>
  </si>
  <si>
    <t>Saturated hydraulic conductivity [cm/d] of the soil sample  normalized to 10 °C mean field temperature</t>
  </si>
  <si>
    <t>9.87E-06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</si>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</sst>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8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1" fontId="0" fillId="0" borderId="0" xfId="0" applyNumberFormat="1" applyFill="1" applyAlignment="1" applyProtection="1"/>
    <xf numFmtId="21" fontId="0" fillId="0" borderId="0" xfId="0" applyNumberFormat="1" applyFill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C12" sqref="C12"/>
    </sheetView>
  </sheetViews>
  <sheetFormatPr defaultColWidth="11.42578125" defaultRowHeight="15"/>
  <cols>
    <col min="1" max="1" width="39.7109375" style="1" customWidth="1"/>
    <col min="2" max="2" width="27" style="1" bestFit="1" customWidth="1"/>
    <col min="3" max="3" width="31.85546875" style="1" bestFit="1" customWidth="1"/>
    <col min="4" max="4" width="18.28515625" style="1" bestFit="1" customWidth="1"/>
    <col min="5" max="5" width="11.140625" style="1" bestFit="1" customWidth="1"/>
    <col min="6" max="6" width="16.42578125" style="1" bestFit="1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 t="s">
        <v>14</v>
      </c>
    </row>
    <row r="11" spans="1:2">
      <c r="A11" s="1" t="s">
        <v>15</v>
      </c>
    </row>
    <row r="12" spans="1:2">
      <c r="A12" s="1" t="s">
        <v>16</v>
      </c>
      <c r="B12" s="1" t="s">
        <v>17</v>
      </c>
    </row>
    <row r="13" spans="1:2">
      <c r="A13" s="1" t="s">
        <v>18</v>
      </c>
      <c r="B13" s="1" t="s">
        <v>19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b">
        <v>0</v>
      </c>
    </row>
    <row r="17" spans="1:3">
      <c r="A17" s="1" t="s">
        <v>23</v>
      </c>
    </row>
    <row r="18" spans="1:3">
      <c r="A18" s="1" t="s">
        <v>24</v>
      </c>
    </row>
    <row r="19" spans="1:3">
      <c r="A19" s="1" t="s">
        <v>25</v>
      </c>
      <c r="B19" s="1">
        <v>0.5</v>
      </c>
      <c r="C19" s="1" t="s">
        <v>26</v>
      </c>
    </row>
    <row r="20" spans="1:3">
      <c r="A20" s="1" t="s">
        <v>27</v>
      </c>
      <c r="B20" s="1" t="s">
        <v>28</v>
      </c>
      <c r="C20" s="1" t="s">
        <v>29</v>
      </c>
    </row>
    <row r="21" spans="1:3">
      <c r="A21" s="1" t="s">
        <v>30</v>
      </c>
      <c r="B21" s="1" t="s">
        <v>31</v>
      </c>
      <c r="C21" s="1" t="s">
        <v>32</v>
      </c>
    </row>
    <row r="22" spans="1:3">
      <c r="A22" s="1" t="s">
        <v>33</v>
      </c>
      <c r="B22" s="1">
        <v>1</v>
      </c>
      <c r="C22" s="1" t="s">
        <v>34</v>
      </c>
    </row>
    <row r="23" spans="1:3">
      <c r="A23" s="1" t="s">
        <v>35</v>
      </c>
    </row>
    <row r="24" spans="1:3">
      <c r="A24" s="1" t="s">
        <v>36</v>
      </c>
      <c r="B24" s="1" t="s">
        <v>37</v>
      </c>
      <c r="C24" s="1" t="s">
        <v>38</v>
      </c>
    </row>
    <row r="25" spans="1:3">
      <c r="A25" s="1" t="s">
        <v>39</v>
      </c>
      <c r="B25" s="1" t="s">
        <v>40</v>
      </c>
      <c r="C25" s="1" t="s">
        <v>41</v>
      </c>
    </row>
    <row r="26" spans="1:3">
      <c r="A26" s="1" t="s">
        <v>42</v>
      </c>
      <c r="B26" s="1">
        <v>19.600000381469702</v>
      </c>
      <c r="C26" s="1" t="s">
        <v>43</v>
      </c>
    </row>
    <row r="27" spans="1:3">
      <c r="A27" s="1" t="s">
        <v>44</v>
      </c>
      <c r="B27" s="1">
        <v>22.5</v>
      </c>
      <c r="C27" s="1" t="s">
        <v>45</v>
      </c>
    </row>
    <row r="28" spans="1:3">
      <c r="A28" s="1" t="s">
        <v>46</v>
      </c>
      <c r="B28" s="1">
        <v>5.0999999046325701</v>
      </c>
      <c r="C28" s="1" t="s">
        <v>47</v>
      </c>
    </row>
    <row r="29" spans="1:3">
      <c r="A29" s="1" t="s">
        <v>48</v>
      </c>
      <c r="B29" s="1" t="s">
        <v>49</v>
      </c>
      <c r="C29" s="1" t="s">
        <v>50</v>
      </c>
    </row>
    <row r="30" spans="1:3">
      <c r="A30" s="1" t="s">
        <v>51</v>
      </c>
      <c r="B30" s="1" t="s">
        <v>52</v>
      </c>
      <c r="C30" s="1" t="s">
        <v>53</v>
      </c>
    </row>
    <row r="31" spans="1:3">
      <c r="A31" s="1" t="s">
        <v>54</v>
      </c>
    </row>
    <row r="32" spans="1:3">
      <c r="A32" s="1" t="s">
        <v>55</v>
      </c>
      <c r="B32" s="1">
        <v>20</v>
      </c>
      <c r="C32" s="1" t="s">
        <v>56</v>
      </c>
    </row>
    <row r="33" spans="1:3">
      <c r="A33" s="1" t="s">
        <v>57</v>
      </c>
      <c r="B33" s="1">
        <v>14000</v>
      </c>
      <c r="C33" s="1" t="s">
        <v>58</v>
      </c>
    </row>
    <row r="34" spans="1:3">
      <c r="A34" s="1" t="s">
        <v>59</v>
      </c>
      <c r="B34" s="1" t="b">
        <v>1</v>
      </c>
      <c r="C34" s="1" t="s">
        <v>60</v>
      </c>
    </row>
    <row r="35" spans="1:3">
      <c r="A35" s="1" t="s">
        <v>61</v>
      </c>
      <c r="B35" s="1">
        <v>1</v>
      </c>
      <c r="C35" s="1" t="s">
        <v>62</v>
      </c>
    </row>
    <row r="36" spans="1:3">
      <c r="A36" s="1" t="s">
        <v>63</v>
      </c>
      <c r="B36" s="1">
        <v>1</v>
      </c>
      <c r="C36" s="1" t="s">
        <v>64</v>
      </c>
    </row>
    <row r="37" spans="1:3">
      <c r="A37" s="1" t="s">
        <v>65</v>
      </c>
      <c r="B37" s="5" t="s">
        <v>66</v>
      </c>
    </row>
    <row r="38" spans="1:3">
      <c r="A38" s="1" t="s">
        <v>67</v>
      </c>
      <c r="B38" s="7" t="s">
        <v>68</v>
      </c>
    </row>
    <row r="40" spans="1:3">
      <c r="A40" s="1" t="s">
        <v>69</v>
      </c>
    </row>
    <row r="41" spans="1:3">
      <c r="A41" s="1" t="s">
        <v>70</v>
      </c>
      <c r="B41" s="1" t="b">
        <v>1</v>
      </c>
    </row>
    <row r="42" spans="1:3">
      <c r="A42" s="1" t="s">
        <v>71</v>
      </c>
      <c r="B42" s="1" t="s">
        <v>72</v>
      </c>
    </row>
    <row r="43" spans="1:3">
      <c r="A43" s="1" t="s">
        <v>73</v>
      </c>
      <c r="B43" s="1" t="s">
        <v>74</v>
      </c>
      <c r="C43" s="1" t="s">
        <v>75</v>
      </c>
    </row>
    <row r="44" spans="1:3">
      <c r="A44" s="1" t="s">
        <v>76</v>
      </c>
      <c r="B44" s="6" t="s">
        <v>77</v>
      </c>
      <c r="C44" s="6" t="s">
        <v>78</v>
      </c>
    </row>
    <row r="45" spans="1:3">
      <c r="A45" s="1" t="s">
        <v>79</v>
      </c>
      <c r="B45" s="1" t="s">
        <v>80</v>
      </c>
      <c r="C45" s="1" t="s">
        <v>81</v>
      </c>
    </row>
    <row r="46" spans="1:3">
      <c r="A46" s="1" t="s">
        <v>82</v>
      </c>
      <c r="B46" s="1" t="s">
        <v>83</v>
      </c>
      <c r="C46" s="1" t="s">
        <v>84</v>
      </c>
    </row>
    <row r="47" spans="1:3">
      <c r="A47" s="1" t="s">
        <v>85</v>
      </c>
      <c r="B47" s="1" t="s">
        <v>86</v>
      </c>
      <c r="C47" s="1" t="s">
        <v>87</v>
      </c>
    </row>
    <row r="48" spans="1:3">
      <c r="A48" s="1" t="s">
        <v>88</v>
      </c>
      <c r="B48" s="6" t="s">
        <v>89</v>
      </c>
      <c r="C48" s="6" t="s">
        <v>90</v>
      </c>
    </row>
    <row r="49" spans="1:6">
      <c r="A49" s="1" t="s">
        <v>91</v>
      </c>
      <c r="B49" s="1" t="s">
        <v>92</v>
      </c>
      <c r="C49" s="1" t="s">
        <v>93</v>
      </c>
    </row>
    <row r="50" spans="1:6">
      <c r="A50" s="1" t="s">
        <v>94</v>
      </c>
      <c r="B50" s="6" t="s">
        <v>95</v>
      </c>
      <c r="C50" s="6" t="s">
        <v>96</v>
      </c>
    </row>
    <row r="51" spans="1:6">
      <c r="A51" s="1" t="str">
        <f>CONCATENATE("Ks Soil normalized at ",B32," °C [cm/d]")</f>
        <v>Ks Soil normalized at 20 °C [cm/d]</v>
      </c>
      <c r="B51" s="1" t="s">
        <v>97</v>
      </c>
      <c r="C51" s="1" t="s">
        <v>98</v>
      </c>
    </row>
    <row r="52" spans="1:6">
      <c r="A52" s="1" t="str">
        <f>CONCATENATE("Ks Soil normalized at ",B32," °C [m/s]")</f>
        <v>Ks Soil normalized at 20 °C [m/s]</v>
      </c>
      <c r="B52" s="6" t="s">
        <v>99</v>
      </c>
      <c r="C52" s="6" t="s">
        <v>100</v>
      </c>
    </row>
    <row r="54" spans="1:6">
      <c r="A54" s="1" t="s">
        <v>101</v>
      </c>
    </row>
    <row r="55" spans="1:6">
      <c r="A55" s="5" t="s">
        <v>102</v>
      </c>
      <c r="B55" s="1" t="s">
        <v>103</v>
      </c>
      <c r="C55" s="1" t="s">
        <v>104</v>
      </c>
      <c r="D55" s="1" t="s">
        <v>105</v>
      </c>
      <c r="E55" s="1" t="s">
        <v>106</v>
      </c>
      <c r="F55" s="1" t="s">
        <v>107</v>
      </c>
    </row>
    <row r="56" spans="1:6">
      <c r="A56" s="4">
        <v>45966.678597627302</v>
      </c>
      <c r="B56" s="1">
        <v>835</v>
      </c>
      <c r="C56" s="1">
        <v>0</v>
      </c>
      <c r="D56" s="1">
        <v>17.893000000000001</v>
      </c>
      <c r="E56" s="1">
        <v>17.893000000000001</v>
      </c>
      <c r="F56" s="1">
        <v>21.6</v>
      </c>
    </row>
    <row r="57" spans="1:6">
      <c r="A57" s="4">
        <v>45966.678649826397</v>
      </c>
      <c r="B57" s="1">
        <v>345</v>
      </c>
      <c r="C57" s="1">
        <v>4.51</v>
      </c>
      <c r="D57" s="1">
        <v>17.783000000000001</v>
      </c>
      <c r="E57" s="1">
        <v>17.824000000000002</v>
      </c>
      <c r="F57" s="1">
        <v>21.6</v>
      </c>
    </row>
    <row r="58" spans="1:6">
      <c r="A58" s="4">
        <v>45966.678661064798</v>
      </c>
      <c r="B58" s="1">
        <v>316</v>
      </c>
      <c r="C58" s="1">
        <v>5.48</v>
      </c>
      <c r="D58" s="1">
        <v>17.765999999999998</v>
      </c>
      <c r="E58" s="1">
        <v>17.809000000000001</v>
      </c>
      <c r="F58" s="1">
        <v>21.6</v>
      </c>
    </row>
    <row r="59" spans="1:6">
      <c r="A59" s="4">
        <v>45966.678740833297</v>
      </c>
      <c r="B59" s="1">
        <v>208</v>
      </c>
      <c r="C59" s="1">
        <v>12.37</v>
      </c>
      <c r="D59" s="1">
        <v>17.664000000000001</v>
      </c>
      <c r="E59" s="1">
        <v>17.704999999999998</v>
      </c>
      <c r="F59" s="1">
        <v>21.59</v>
      </c>
    </row>
    <row r="60" spans="1:6">
      <c r="A60" s="4">
        <v>45966.678826030096</v>
      </c>
      <c r="B60" s="1">
        <v>569</v>
      </c>
      <c r="C60" s="1">
        <v>19.73</v>
      </c>
      <c r="D60" s="1">
        <v>17.547000000000001</v>
      </c>
      <c r="E60" s="1">
        <v>17.594000000000001</v>
      </c>
      <c r="F60" s="1">
        <v>21.59</v>
      </c>
    </row>
    <row r="61" spans="1:6">
      <c r="A61" s="4">
        <v>45966.678899525497</v>
      </c>
      <c r="B61" s="1">
        <v>919</v>
      </c>
      <c r="C61" s="1">
        <v>26.08</v>
      </c>
      <c r="D61" s="1">
        <v>17.442</v>
      </c>
      <c r="E61" s="1">
        <v>17.498999999999999</v>
      </c>
      <c r="F61" s="1">
        <v>21.59</v>
      </c>
    </row>
    <row r="62" spans="1:6">
      <c r="A62" s="4">
        <v>45966.678984502301</v>
      </c>
      <c r="B62" s="1">
        <v>261</v>
      </c>
      <c r="C62" s="1">
        <v>33.43</v>
      </c>
      <c r="D62" s="1">
        <v>17.332000000000001</v>
      </c>
      <c r="E62" s="1">
        <v>17.388999999999999</v>
      </c>
      <c r="F62" s="1">
        <v>21.59</v>
      </c>
    </row>
    <row r="63" spans="1:6">
      <c r="A63" s="4">
        <v>45966.6790685417</v>
      </c>
      <c r="B63" s="1">
        <v>522</v>
      </c>
      <c r="C63" s="1">
        <v>40.69</v>
      </c>
      <c r="D63" s="1">
        <v>17.225000000000001</v>
      </c>
      <c r="E63" s="1">
        <v>17.282</v>
      </c>
      <c r="F63" s="1">
        <v>21.59</v>
      </c>
    </row>
    <row r="64" spans="1:6">
      <c r="A64" s="4">
        <v>45966.679152800898</v>
      </c>
      <c r="B64" s="1">
        <v>802</v>
      </c>
      <c r="C64" s="1">
        <v>47.97</v>
      </c>
      <c r="D64" s="1">
        <v>17.116</v>
      </c>
      <c r="E64" s="1">
        <v>17.175000000000001</v>
      </c>
      <c r="F64" s="1">
        <v>21.59</v>
      </c>
    </row>
    <row r="65" spans="1:6">
      <c r="A65" s="4">
        <v>45966.679236481497</v>
      </c>
      <c r="B65" s="1">
        <v>32</v>
      </c>
      <c r="C65" s="1">
        <v>55.2</v>
      </c>
      <c r="D65" s="1">
        <v>17.006</v>
      </c>
      <c r="E65" s="1">
        <v>17.068999999999999</v>
      </c>
      <c r="F65" s="1">
        <v>21.59</v>
      </c>
    </row>
    <row r="66" spans="1:6">
      <c r="A66" s="4">
        <v>45966.6793322917</v>
      </c>
      <c r="B66" s="1">
        <v>310</v>
      </c>
      <c r="C66" s="1">
        <v>63.47</v>
      </c>
      <c r="D66" s="1">
        <v>16.895</v>
      </c>
      <c r="E66" s="1">
        <v>16.949000000000002</v>
      </c>
      <c r="F66" s="1">
        <v>21.59</v>
      </c>
    </row>
    <row r="67" spans="1:6">
      <c r="A67" s="4">
        <v>45966.679406828698</v>
      </c>
      <c r="B67" s="1">
        <v>750</v>
      </c>
      <c r="C67" s="1">
        <v>69.91</v>
      </c>
      <c r="D67" s="1">
        <v>16.794</v>
      </c>
      <c r="E67" s="1">
        <v>16.856000000000002</v>
      </c>
      <c r="F67" s="1">
        <v>21.59</v>
      </c>
    </row>
    <row r="68" spans="1:6">
      <c r="A68" s="4">
        <v>45966.679491215298</v>
      </c>
      <c r="B68" s="1">
        <v>41</v>
      </c>
      <c r="C68" s="1">
        <v>77.209999999999994</v>
      </c>
      <c r="D68" s="1">
        <v>16.689</v>
      </c>
      <c r="E68" s="1">
        <v>16.751000000000001</v>
      </c>
      <c r="F68" s="1">
        <v>21.59</v>
      </c>
    </row>
    <row r="69" spans="1:6">
      <c r="A69" s="4">
        <v>45966.679575150498</v>
      </c>
      <c r="B69" s="1">
        <v>293</v>
      </c>
      <c r="C69" s="1">
        <v>84.46</v>
      </c>
      <c r="D69" s="1">
        <v>16.582000000000001</v>
      </c>
      <c r="E69" s="1">
        <v>16.648</v>
      </c>
      <c r="F69" s="1">
        <v>21.59</v>
      </c>
    </row>
    <row r="70" spans="1:6">
      <c r="A70" s="4">
        <v>45966.679660451402</v>
      </c>
      <c r="B70" s="1">
        <v>663</v>
      </c>
      <c r="C70" s="1">
        <v>91.83</v>
      </c>
      <c r="D70" s="1">
        <v>16.478999999999999</v>
      </c>
      <c r="E70" s="1">
        <v>16.544</v>
      </c>
      <c r="F70" s="1">
        <v>21.59</v>
      </c>
    </row>
    <row r="71" spans="1:6">
      <c r="A71" s="4">
        <v>45966.679745405097</v>
      </c>
      <c r="B71" s="1">
        <v>3</v>
      </c>
      <c r="C71" s="1">
        <v>99.17</v>
      </c>
      <c r="D71" s="1">
        <v>16.375</v>
      </c>
      <c r="E71" s="1">
        <v>16.440000000000001</v>
      </c>
      <c r="F71" s="1">
        <v>21.59</v>
      </c>
    </row>
    <row r="72" spans="1:6">
      <c r="A72" s="4">
        <v>45966.679829432898</v>
      </c>
      <c r="B72" s="1">
        <v>263</v>
      </c>
      <c r="C72" s="1">
        <v>106.43</v>
      </c>
      <c r="D72" s="1">
        <v>16.265999999999998</v>
      </c>
      <c r="E72" s="1">
        <v>16.338999999999999</v>
      </c>
      <c r="F72" s="1">
        <v>21.59</v>
      </c>
    </row>
    <row r="73" spans="1:6">
      <c r="A73" s="4">
        <v>45966.679925162003</v>
      </c>
      <c r="B73" s="1">
        <v>534</v>
      </c>
      <c r="C73" s="1">
        <v>114.7</v>
      </c>
      <c r="D73" s="1">
        <v>16.157</v>
      </c>
      <c r="E73" s="1">
        <v>16.224</v>
      </c>
      <c r="F73" s="1">
        <v>21.59</v>
      </c>
    </row>
    <row r="74" spans="1:6">
      <c r="A74" s="4">
        <v>45966.680010243101</v>
      </c>
      <c r="B74" s="1">
        <v>885</v>
      </c>
      <c r="C74" s="1">
        <v>122.05</v>
      </c>
      <c r="D74" s="1">
        <v>16.048999999999999</v>
      </c>
      <c r="E74" s="1">
        <v>16.122</v>
      </c>
      <c r="F74" s="1">
        <v>21.59</v>
      </c>
    </row>
    <row r="75" spans="1:6">
      <c r="A75" s="4">
        <v>45966.680105868101</v>
      </c>
      <c r="B75" s="1">
        <v>147</v>
      </c>
      <c r="C75" s="1">
        <v>130.31</v>
      </c>
      <c r="D75" s="1">
        <v>15.94</v>
      </c>
      <c r="E75" s="1">
        <v>16.009</v>
      </c>
      <c r="F75" s="1">
        <v>21.59</v>
      </c>
    </row>
    <row r="76" spans="1:6">
      <c r="A76" s="4">
        <v>45966.680202418996</v>
      </c>
      <c r="B76" s="1">
        <v>489</v>
      </c>
      <c r="C76" s="1">
        <v>138.65</v>
      </c>
      <c r="D76" s="1">
        <v>15.821999999999999</v>
      </c>
      <c r="E76" s="1">
        <v>15.896000000000001</v>
      </c>
      <c r="F76" s="1">
        <v>21.59</v>
      </c>
    </row>
    <row r="77" spans="1:6">
      <c r="A77" s="4">
        <v>45966.6802760301</v>
      </c>
      <c r="B77" s="1">
        <v>849</v>
      </c>
      <c r="C77" s="1">
        <v>145.01</v>
      </c>
      <c r="D77" s="1">
        <v>15.72</v>
      </c>
      <c r="E77" s="1">
        <v>15.81</v>
      </c>
      <c r="F77" s="1">
        <v>21.59</v>
      </c>
    </row>
    <row r="78" spans="1:6">
      <c r="A78" s="4">
        <v>45966.680370937502</v>
      </c>
      <c r="B78" s="1">
        <v>49</v>
      </c>
      <c r="C78" s="1">
        <v>153.21</v>
      </c>
      <c r="D78" s="1">
        <v>15.616</v>
      </c>
      <c r="E78" s="1">
        <v>15.699</v>
      </c>
      <c r="F78" s="1">
        <v>21.58</v>
      </c>
    </row>
    <row r="79" spans="1:6">
      <c r="A79" s="4">
        <v>45966.680477997703</v>
      </c>
      <c r="B79" s="1">
        <v>299</v>
      </c>
      <c r="C79" s="1">
        <v>162.46</v>
      </c>
      <c r="D79" s="1">
        <v>15.502000000000001</v>
      </c>
      <c r="E79" s="1">
        <v>15.576000000000001</v>
      </c>
      <c r="F79" s="1">
        <v>21.58</v>
      </c>
    </row>
    <row r="80" spans="1:6">
      <c r="A80" s="4">
        <v>45966.680574525497</v>
      </c>
      <c r="B80" s="1">
        <v>639</v>
      </c>
      <c r="C80" s="1">
        <v>170.8</v>
      </c>
      <c r="D80" s="1">
        <v>15.398999999999999</v>
      </c>
      <c r="E80" s="1">
        <v>15.465999999999999</v>
      </c>
      <c r="F80" s="1">
        <v>21.58</v>
      </c>
    </row>
    <row r="81" spans="1:6">
      <c r="A81" s="4">
        <v>45966.680658333302</v>
      </c>
      <c r="B81" s="1">
        <v>880</v>
      </c>
      <c r="C81" s="1">
        <v>178.04</v>
      </c>
      <c r="D81" s="1">
        <v>15.295999999999999</v>
      </c>
      <c r="E81" s="1">
        <v>15.37</v>
      </c>
      <c r="F81" s="1">
        <v>21.58</v>
      </c>
    </row>
    <row r="82" spans="1:6">
      <c r="A82" s="4">
        <v>45966.680753819397</v>
      </c>
      <c r="B82" s="1">
        <v>130</v>
      </c>
      <c r="C82" s="1">
        <v>186.3</v>
      </c>
      <c r="D82" s="1">
        <v>15.188000000000001</v>
      </c>
      <c r="E82" s="1">
        <v>15.263</v>
      </c>
      <c r="F82" s="1">
        <v>21.58</v>
      </c>
    </row>
    <row r="83" spans="1:6">
      <c r="A83" s="4">
        <v>45966.680849189797</v>
      </c>
      <c r="B83" s="1">
        <v>370</v>
      </c>
      <c r="C83" s="1">
        <v>194.53</v>
      </c>
      <c r="D83" s="1">
        <v>15.084</v>
      </c>
      <c r="E83" s="1">
        <v>15.156000000000001</v>
      </c>
      <c r="F83" s="1">
        <v>21.58</v>
      </c>
    </row>
    <row r="84" spans="1:6">
      <c r="A84" s="4">
        <v>45966.680944814798</v>
      </c>
      <c r="B84" s="1">
        <v>632</v>
      </c>
      <c r="C84" s="1">
        <v>202.8</v>
      </c>
      <c r="D84" s="1">
        <v>14.98</v>
      </c>
      <c r="E84" s="1">
        <v>15.048999999999999</v>
      </c>
      <c r="F84" s="1">
        <v>21.58</v>
      </c>
    </row>
    <row r="85" spans="1:6">
      <c r="A85" s="4">
        <v>45966.681029178202</v>
      </c>
      <c r="B85" s="1">
        <v>921</v>
      </c>
      <c r="C85" s="1">
        <v>210.09</v>
      </c>
      <c r="D85" s="1">
        <v>14.874000000000001</v>
      </c>
      <c r="E85" s="1">
        <v>14.956</v>
      </c>
      <c r="F85" s="1">
        <v>21.58</v>
      </c>
    </row>
    <row r="86" spans="1:6">
      <c r="A86" s="4">
        <v>45966.6811253704</v>
      </c>
      <c r="B86" s="1">
        <v>232</v>
      </c>
      <c r="C86" s="1">
        <v>218.4</v>
      </c>
      <c r="D86" s="1">
        <v>14.773</v>
      </c>
      <c r="E86" s="1">
        <v>14.851000000000001</v>
      </c>
      <c r="F86" s="1">
        <v>21.58</v>
      </c>
    </row>
    <row r="87" spans="1:6">
      <c r="A87" s="4">
        <v>45966.681231863397</v>
      </c>
      <c r="B87" s="1">
        <v>433</v>
      </c>
      <c r="C87" s="1">
        <v>227.6</v>
      </c>
      <c r="D87" s="1">
        <v>14.67</v>
      </c>
      <c r="E87" s="1">
        <v>14.734999999999999</v>
      </c>
      <c r="F87" s="1">
        <v>21.58</v>
      </c>
    </row>
    <row r="88" spans="1:6">
      <c r="A88" s="4">
        <v>45966.681316099501</v>
      </c>
      <c r="B88" s="1">
        <v>711</v>
      </c>
      <c r="C88" s="1">
        <v>234.88</v>
      </c>
      <c r="D88" s="1">
        <v>14.568</v>
      </c>
      <c r="E88" s="1">
        <v>14.644</v>
      </c>
      <c r="F88" s="1">
        <v>21.58</v>
      </c>
    </row>
    <row r="89" spans="1:6">
      <c r="A89" s="4">
        <v>45966.681423159702</v>
      </c>
      <c r="B89" s="1">
        <v>961</v>
      </c>
      <c r="C89" s="1">
        <v>244.13</v>
      </c>
      <c r="D89" s="1">
        <v>14.458</v>
      </c>
      <c r="E89" s="1">
        <v>14.529</v>
      </c>
      <c r="F89" s="1">
        <v>21.58</v>
      </c>
    </row>
    <row r="90" spans="1:6">
      <c r="A90" s="4">
        <v>45966.681518194397</v>
      </c>
      <c r="B90" s="1">
        <v>172</v>
      </c>
      <c r="C90" s="1">
        <v>252.34</v>
      </c>
      <c r="D90" s="1">
        <v>14.355</v>
      </c>
      <c r="E90" s="1">
        <v>14.427</v>
      </c>
      <c r="F90" s="1">
        <v>21.58</v>
      </c>
    </row>
    <row r="91" spans="1:6">
      <c r="A91" s="4">
        <v>45966.681625277801</v>
      </c>
      <c r="B91" s="1">
        <v>424</v>
      </c>
      <c r="C91" s="1">
        <v>261.58999999999997</v>
      </c>
      <c r="D91" s="1">
        <v>14.231</v>
      </c>
      <c r="E91" s="1">
        <v>14.314</v>
      </c>
      <c r="F91" s="1">
        <v>21.57</v>
      </c>
    </row>
    <row r="92" spans="1:6">
      <c r="A92" s="4">
        <v>45966.681775879602</v>
      </c>
      <c r="B92" s="1">
        <v>436</v>
      </c>
      <c r="C92" s="1">
        <v>274.60000000000002</v>
      </c>
      <c r="D92" s="1">
        <v>14.068</v>
      </c>
      <c r="E92" s="1">
        <v>14.156000000000001</v>
      </c>
      <c r="F92" s="1">
        <v>21.57</v>
      </c>
    </row>
    <row r="93" spans="1:6">
      <c r="A93" s="4">
        <v>45966.6818937153</v>
      </c>
      <c r="B93" s="1">
        <v>617</v>
      </c>
      <c r="C93" s="1">
        <v>284.77999999999997</v>
      </c>
      <c r="D93" s="1">
        <v>13.964</v>
      </c>
      <c r="E93" s="1">
        <v>14.034000000000001</v>
      </c>
      <c r="F93" s="1">
        <v>21.57</v>
      </c>
    </row>
    <row r="94" spans="1:6">
      <c r="A94" s="4">
        <v>45966.681989189798</v>
      </c>
      <c r="B94" s="1">
        <v>866</v>
      </c>
      <c r="C94" s="1">
        <v>293.02999999999997</v>
      </c>
      <c r="D94" s="1">
        <v>13.856</v>
      </c>
      <c r="E94" s="1">
        <v>13.936</v>
      </c>
      <c r="F94" s="1">
        <v>21.57</v>
      </c>
    </row>
    <row r="95" spans="1:6">
      <c r="A95" s="4">
        <v>45966.682107476903</v>
      </c>
      <c r="B95" s="1">
        <v>86</v>
      </c>
      <c r="C95" s="1">
        <v>303.25</v>
      </c>
      <c r="D95" s="1">
        <v>13.756</v>
      </c>
      <c r="E95" s="1">
        <v>13.815</v>
      </c>
      <c r="F95" s="1">
        <v>21.57</v>
      </c>
    </row>
    <row r="96" spans="1:6">
      <c r="A96" s="4">
        <v>45966.682202719901</v>
      </c>
      <c r="B96" s="1">
        <v>315</v>
      </c>
      <c r="C96" s="1">
        <v>311.48</v>
      </c>
      <c r="D96" s="1">
        <v>13.645</v>
      </c>
      <c r="E96" s="1">
        <v>13.718999999999999</v>
      </c>
      <c r="F96" s="1">
        <v>21.58</v>
      </c>
    </row>
    <row r="97" spans="1:6">
      <c r="A97" s="4">
        <v>45966.682319166699</v>
      </c>
      <c r="B97" s="1">
        <v>376</v>
      </c>
      <c r="C97" s="1">
        <v>321.54000000000002</v>
      </c>
      <c r="D97" s="1">
        <v>13.536</v>
      </c>
      <c r="E97" s="1">
        <v>13.602</v>
      </c>
      <c r="F97" s="1">
        <v>21.57</v>
      </c>
    </row>
    <row r="98" spans="1:6">
      <c r="A98" s="4">
        <v>45966.682427164298</v>
      </c>
      <c r="B98" s="1">
        <v>707</v>
      </c>
      <c r="C98" s="1">
        <v>330.87</v>
      </c>
      <c r="D98" s="1">
        <v>13.426</v>
      </c>
      <c r="E98" s="1">
        <v>13.494</v>
      </c>
      <c r="F98" s="1">
        <v>21.57</v>
      </c>
    </row>
    <row r="99" spans="1:6">
      <c r="A99" s="4">
        <v>45966.6825329282</v>
      </c>
      <c r="B99" s="1">
        <v>845</v>
      </c>
      <c r="C99" s="1">
        <v>340.01</v>
      </c>
      <c r="D99" s="1">
        <v>13.321999999999999</v>
      </c>
      <c r="E99" s="1">
        <v>13.388999999999999</v>
      </c>
      <c r="F99" s="1">
        <v>21.57</v>
      </c>
    </row>
    <row r="100" spans="1:6">
      <c r="A100" s="4">
        <v>45966.682639942097</v>
      </c>
      <c r="B100" s="1">
        <v>91</v>
      </c>
      <c r="C100" s="1">
        <v>349.26</v>
      </c>
      <c r="D100" s="1">
        <v>13.214</v>
      </c>
      <c r="E100" s="1">
        <v>13.284000000000001</v>
      </c>
      <c r="F100" s="1">
        <v>21.57</v>
      </c>
    </row>
    <row r="101" spans="1:6">
      <c r="A101" s="4">
        <v>45966.682758437499</v>
      </c>
      <c r="B101" s="1">
        <v>329</v>
      </c>
      <c r="C101" s="1">
        <v>359.49</v>
      </c>
      <c r="D101" s="1">
        <v>13.084</v>
      </c>
      <c r="E101" s="1">
        <v>13.169</v>
      </c>
      <c r="F101" s="1">
        <v>21.56</v>
      </c>
    </row>
    <row r="102" spans="1:6">
      <c r="A102" s="4">
        <v>45966.6828761574</v>
      </c>
      <c r="B102" s="1">
        <v>500</v>
      </c>
      <c r="C102" s="1">
        <v>369.66</v>
      </c>
      <c r="D102" s="1">
        <v>12.981</v>
      </c>
      <c r="E102" s="1">
        <v>13.055999999999999</v>
      </c>
      <c r="F102" s="1">
        <v>21.56</v>
      </c>
    </row>
    <row r="103" spans="1:6">
      <c r="A103" s="4">
        <v>45966.683005046303</v>
      </c>
      <c r="B103" s="1">
        <v>636</v>
      </c>
      <c r="C103" s="1">
        <v>380.8</v>
      </c>
      <c r="D103" s="1">
        <v>12.872</v>
      </c>
      <c r="E103" s="1">
        <v>12.933</v>
      </c>
      <c r="F103" s="1">
        <v>21.56</v>
      </c>
    </row>
    <row r="104" spans="1:6">
      <c r="A104" s="4">
        <v>45966.683112106497</v>
      </c>
      <c r="B104" s="1">
        <v>886</v>
      </c>
      <c r="C104" s="1">
        <v>390.05</v>
      </c>
      <c r="D104" s="1">
        <v>12.768000000000001</v>
      </c>
      <c r="E104" s="1">
        <v>12.831</v>
      </c>
      <c r="F104" s="1">
        <v>21.56</v>
      </c>
    </row>
    <row r="105" spans="1:6">
      <c r="A105" s="4">
        <v>45966.683229467599</v>
      </c>
      <c r="B105" s="1">
        <v>26</v>
      </c>
      <c r="C105" s="1">
        <v>400.19</v>
      </c>
      <c r="D105" s="1">
        <v>12.662000000000001</v>
      </c>
      <c r="E105" s="1">
        <v>12.721</v>
      </c>
      <c r="F105" s="1">
        <v>21.56</v>
      </c>
    </row>
    <row r="106" spans="1:6">
      <c r="A106" s="4">
        <v>45966.683335671303</v>
      </c>
      <c r="B106" s="1">
        <v>202</v>
      </c>
      <c r="C106" s="1">
        <v>409.37</v>
      </c>
      <c r="D106" s="1">
        <v>12.558999999999999</v>
      </c>
      <c r="E106" s="1">
        <v>12.622</v>
      </c>
      <c r="F106" s="1">
        <v>21.56</v>
      </c>
    </row>
    <row r="107" spans="1:6">
      <c r="A107" s="4">
        <v>45966.6834539583</v>
      </c>
      <c r="B107" s="1">
        <v>422</v>
      </c>
      <c r="C107" s="1">
        <v>419.59</v>
      </c>
      <c r="D107" s="1">
        <v>12.448</v>
      </c>
      <c r="E107" s="1">
        <v>12.513</v>
      </c>
      <c r="F107" s="1">
        <v>21.55</v>
      </c>
    </row>
    <row r="108" spans="1:6">
      <c r="A108" s="4">
        <v>45966.683571562498</v>
      </c>
      <c r="B108" s="1">
        <v>583</v>
      </c>
      <c r="C108" s="1">
        <v>429.75</v>
      </c>
      <c r="D108" s="1">
        <v>12.347</v>
      </c>
      <c r="E108" s="1">
        <v>12.404999999999999</v>
      </c>
      <c r="F108" s="1">
        <v>21.56</v>
      </c>
    </row>
    <row r="109" spans="1:6">
      <c r="A109" s="4">
        <v>45966.683678981499</v>
      </c>
      <c r="B109" s="1">
        <v>864</v>
      </c>
      <c r="C109" s="1">
        <v>439.03</v>
      </c>
      <c r="D109" s="1">
        <v>12.243</v>
      </c>
      <c r="E109" s="1">
        <v>12.308</v>
      </c>
      <c r="F109" s="1">
        <v>21.55</v>
      </c>
    </row>
    <row r="110" spans="1:6">
      <c r="A110" s="4">
        <v>45966.6838180903</v>
      </c>
      <c r="B110" s="1">
        <v>883</v>
      </c>
      <c r="C110" s="1">
        <v>451.05</v>
      </c>
      <c r="D110" s="1">
        <v>12.138</v>
      </c>
      <c r="E110" s="1">
        <v>12.183</v>
      </c>
      <c r="F110" s="1">
        <v>21.55</v>
      </c>
    </row>
    <row r="111" spans="1:6">
      <c r="A111" s="4">
        <v>45966.6839356829</v>
      </c>
      <c r="B111" s="1">
        <v>43</v>
      </c>
      <c r="C111" s="1">
        <v>461.21</v>
      </c>
      <c r="D111" s="1">
        <v>12.025</v>
      </c>
      <c r="E111" s="1">
        <v>12.077999999999999</v>
      </c>
      <c r="F111" s="1">
        <v>21.55</v>
      </c>
    </row>
    <row r="112" spans="1:6">
      <c r="A112" s="4">
        <v>45966.684064988403</v>
      </c>
      <c r="B112" s="1">
        <v>215</v>
      </c>
      <c r="C112" s="1">
        <v>472.38</v>
      </c>
      <c r="D112" s="1">
        <v>11.917999999999999</v>
      </c>
      <c r="E112" s="1">
        <v>11.964</v>
      </c>
      <c r="F112" s="1">
        <v>21.56</v>
      </c>
    </row>
    <row r="113" spans="1:6">
      <c r="A113" s="4">
        <v>45966.684183530102</v>
      </c>
      <c r="B113" s="1">
        <v>457</v>
      </c>
      <c r="C113" s="1">
        <v>482.62</v>
      </c>
      <c r="D113" s="1">
        <v>11.817</v>
      </c>
      <c r="E113" s="1">
        <v>11.86</v>
      </c>
      <c r="F113" s="1">
        <v>21.55</v>
      </c>
    </row>
    <row r="114" spans="1:6">
      <c r="A114" s="4">
        <v>45966.684312141202</v>
      </c>
      <c r="B114" s="1">
        <v>569</v>
      </c>
      <c r="C114" s="1">
        <v>493.73</v>
      </c>
      <c r="D114" s="1">
        <v>11.706</v>
      </c>
      <c r="E114" s="1">
        <v>11.749000000000001</v>
      </c>
      <c r="F114" s="1">
        <v>21.55</v>
      </c>
    </row>
    <row r="115" spans="1:6">
      <c r="A115" s="4">
        <v>45966.684440532401</v>
      </c>
      <c r="B115" s="1">
        <v>662</v>
      </c>
      <c r="C115" s="1">
        <v>504.83</v>
      </c>
      <c r="D115" s="1">
        <v>11.597</v>
      </c>
      <c r="E115" s="1">
        <v>11.638999999999999</v>
      </c>
      <c r="F115" s="1">
        <v>21.55</v>
      </c>
    </row>
    <row r="116" spans="1:6">
      <c r="A116" s="4">
        <v>45966.684569953701</v>
      </c>
      <c r="B116" s="1">
        <v>844</v>
      </c>
      <c r="C116" s="1">
        <v>516.01</v>
      </c>
      <c r="D116" s="1">
        <v>11.492000000000001</v>
      </c>
      <c r="E116" s="1">
        <v>11.529</v>
      </c>
      <c r="F116" s="1">
        <v>21.55</v>
      </c>
    </row>
    <row r="117" spans="1:6">
      <c r="A117" s="4">
        <v>45966.684687800902</v>
      </c>
      <c r="B117" s="1">
        <v>26</v>
      </c>
      <c r="C117" s="1">
        <v>526.19000000000005</v>
      </c>
      <c r="D117" s="1">
        <v>11.39</v>
      </c>
      <c r="E117" s="1">
        <v>11.43</v>
      </c>
      <c r="F117" s="1">
        <v>21.54</v>
      </c>
    </row>
    <row r="118" spans="1:6">
      <c r="A118" s="4">
        <v>45966.684827175901</v>
      </c>
      <c r="B118" s="1">
        <v>68</v>
      </c>
      <c r="C118" s="1">
        <v>538.23</v>
      </c>
      <c r="D118" s="1">
        <v>11.287000000000001</v>
      </c>
      <c r="E118" s="1">
        <v>11.313000000000001</v>
      </c>
      <c r="F118" s="1">
        <v>21.54</v>
      </c>
    </row>
    <row r="119" spans="1:6">
      <c r="A119" s="4">
        <v>45966.684945254601</v>
      </c>
      <c r="B119" s="1">
        <v>270</v>
      </c>
      <c r="C119" s="1">
        <v>548.42999999999995</v>
      </c>
      <c r="D119" s="1">
        <v>11.183</v>
      </c>
      <c r="E119" s="1">
        <v>11.215999999999999</v>
      </c>
      <c r="F119" s="1">
        <v>21.54</v>
      </c>
    </row>
    <row r="120" spans="1:6">
      <c r="A120" s="4">
        <v>45966.685052777801</v>
      </c>
      <c r="B120" s="1">
        <v>560</v>
      </c>
      <c r="C120" s="1">
        <v>557.72</v>
      </c>
      <c r="D120" s="1">
        <v>11.081</v>
      </c>
      <c r="E120" s="1">
        <v>11.128</v>
      </c>
      <c r="F120" s="1">
        <v>21.54</v>
      </c>
    </row>
    <row r="121" spans="1:6">
      <c r="A121" s="4">
        <v>45966.685192175901</v>
      </c>
      <c r="B121" s="1">
        <v>604</v>
      </c>
      <c r="C121" s="1">
        <v>569.77</v>
      </c>
      <c r="D121" s="1">
        <v>10.981</v>
      </c>
      <c r="E121" s="1">
        <v>11.015000000000001</v>
      </c>
      <c r="F121" s="1">
        <v>21.53</v>
      </c>
    </row>
    <row r="122" spans="1:6">
      <c r="A122" s="4">
        <v>45966.685319861099</v>
      </c>
      <c r="B122" s="1">
        <v>636</v>
      </c>
      <c r="C122" s="1">
        <v>580.79999999999995</v>
      </c>
      <c r="D122" s="1">
        <v>10.879</v>
      </c>
      <c r="E122" s="1">
        <v>10.912000000000001</v>
      </c>
      <c r="F122" s="1">
        <v>21.53</v>
      </c>
    </row>
    <row r="123" spans="1:6">
      <c r="A123" s="4">
        <v>45966.685459467597</v>
      </c>
      <c r="B123" s="1">
        <v>698</v>
      </c>
      <c r="C123" s="1">
        <v>592.86</v>
      </c>
      <c r="D123" s="1">
        <v>10.778</v>
      </c>
      <c r="E123" s="1">
        <v>10.801</v>
      </c>
      <c r="F123" s="1">
        <v>21.53</v>
      </c>
    </row>
    <row r="124" spans="1:6">
      <c r="A124" s="4">
        <v>45966.685599490702</v>
      </c>
      <c r="B124" s="1">
        <v>796</v>
      </c>
      <c r="C124" s="1">
        <v>604.96</v>
      </c>
      <c r="D124" s="1">
        <v>10.669</v>
      </c>
      <c r="E124" s="1">
        <v>10.691000000000001</v>
      </c>
      <c r="F124" s="1">
        <v>21.53</v>
      </c>
    </row>
    <row r="125" spans="1:6">
      <c r="A125" s="4">
        <v>45966.685717233799</v>
      </c>
      <c r="B125" s="1">
        <v>969</v>
      </c>
      <c r="C125" s="1">
        <v>615.13</v>
      </c>
      <c r="D125" s="1">
        <v>10.563000000000001</v>
      </c>
      <c r="E125" s="1">
        <v>10.599</v>
      </c>
      <c r="F125" s="1">
        <v>21.53</v>
      </c>
    </row>
    <row r="126" spans="1:6">
      <c r="A126" s="4">
        <v>45966.685867025502</v>
      </c>
      <c r="B126" s="1">
        <v>911</v>
      </c>
      <c r="C126" s="1">
        <v>628.08000000000004</v>
      </c>
      <c r="D126" s="1">
        <v>10.461</v>
      </c>
      <c r="E126" s="1">
        <v>10.483000000000001</v>
      </c>
      <c r="F126" s="1">
        <v>21.53</v>
      </c>
    </row>
    <row r="127" spans="1:6">
      <c r="A127" s="4">
        <v>45966.686005648102</v>
      </c>
      <c r="B127" s="1">
        <v>888</v>
      </c>
      <c r="C127" s="1">
        <v>640.04999999999995</v>
      </c>
      <c r="D127" s="1">
        <v>10.356999999999999</v>
      </c>
      <c r="E127" s="1">
        <v>10.378</v>
      </c>
      <c r="F127" s="1">
        <v>21.52</v>
      </c>
    </row>
    <row r="128" spans="1:6">
      <c r="A128" s="4">
        <v>45966.686155775496</v>
      </c>
      <c r="B128" s="1">
        <v>859</v>
      </c>
      <c r="C128" s="1">
        <v>653.02</v>
      </c>
      <c r="D128" s="1">
        <v>10.25</v>
      </c>
      <c r="E128" s="1">
        <v>10.263999999999999</v>
      </c>
      <c r="F128" s="1">
        <v>21.52</v>
      </c>
    </row>
    <row r="129" spans="1:6">
      <c r="A129" s="4">
        <v>45966.686296076397</v>
      </c>
      <c r="B129" s="1">
        <v>981</v>
      </c>
      <c r="C129" s="1">
        <v>665.15</v>
      </c>
      <c r="D129" s="1">
        <v>10.144</v>
      </c>
      <c r="E129" s="1">
        <v>10.159000000000001</v>
      </c>
      <c r="F129" s="1">
        <v>21.52</v>
      </c>
    </row>
    <row r="130" spans="1:6">
      <c r="A130" s="4">
        <v>45966.6864463194</v>
      </c>
      <c r="B130" s="1">
        <v>962</v>
      </c>
      <c r="C130" s="1">
        <v>678.13</v>
      </c>
      <c r="D130" s="1">
        <v>10.036</v>
      </c>
      <c r="E130" s="1">
        <v>10.048</v>
      </c>
      <c r="F130" s="1">
        <v>21.52</v>
      </c>
    </row>
    <row r="131" spans="1:6">
      <c r="A131" s="4">
        <v>45966.686596782398</v>
      </c>
      <c r="B131" s="1">
        <v>962</v>
      </c>
      <c r="C131" s="1">
        <v>691.13</v>
      </c>
      <c r="D131" s="1">
        <v>9.9350000000000005</v>
      </c>
      <c r="E131" s="1">
        <v>9.9380000000000006</v>
      </c>
      <c r="F131" s="1">
        <v>21.52</v>
      </c>
    </row>
    <row r="132" spans="1:6">
      <c r="A132" s="4">
        <v>45966.686736169002</v>
      </c>
      <c r="B132" s="1">
        <v>5</v>
      </c>
      <c r="C132" s="1">
        <v>703.17</v>
      </c>
      <c r="D132" s="1">
        <v>9.8339999999999996</v>
      </c>
      <c r="E132" s="1">
        <v>9.8369999999999997</v>
      </c>
      <c r="F132" s="1">
        <v>21.52</v>
      </c>
    </row>
    <row r="133" spans="1:6">
      <c r="A133" s="4">
        <v>45966.686897175903</v>
      </c>
      <c r="B133" s="1">
        <v>916</v>
      </c>
      <c r="C133" s="1">
        <v>717.08</v>
      </c>
      <c r="D133" s="1">
        <v>9.7230000000000008</v>
      </c>
      <c r="E133" s="1">
        <v>9.7219999999999995</v>
      </c>
      <c r="F133" s="1">
        <v>21.51</v>
      </c>
    </row>
    <row r="134" spans="1:6">
      <c r="A134" s="4">
        <v>45966.687048136599</v>
      </c>
      <c r="B134" s="1">
        <v>959</v>
      </c>
      <c r="C134" s="1">
        <v>730.12</v>
      </c>
      <c r="D134" s="1">
        <v>9.6150000000000002</v>
      </c>
      <c r="E134" s="1">
        <v>9.6159999999999997</v>
      </c>
      <c r="F134" s="1">
        <v>21.51</v>
      </c>
    </row>
    <row r="135" spans="1:6">
      <c r="A135" s="4">
        <v>45966.687199155102</v>
      </c>
      <c r="B135" s="1">
        <v>7</v>
      </c>
      <c r="C135" s="1">
        <v>743.17</v>
      </c>
      <c r="D135" s="1">
        <v>9.5129999999999999</v>
      </c>
      <c r="E135" s="1">
        <v>9.51</v>
      </c>
      <c r="F135" s="1">
        <v>21.51</v>
      </c>
    </row>
    <row r="136" spans="1:6">
      <c r="A136" s="4">
        <v>45966.687359583302</v>
      </c>
      <c r="B136" s="1">
        <v>868</v>
      </c>
      <c r="C136" s="1">
        <v>757.03</v>
      </c>
      <c r="D136" s="1">
        <v>9.4060000000000006</v>
      </c>
      <c r="E136" s="1">
        <v>9.3989999999999991</v>
      </c>
      <c r="F136" s="1">
        <v>21.51</v>
      </c>
    </row>
    <row r="137" spans="1:6">
      <c r="A137" s="4">
        <v>45966.6875104051</v>
      </c>
      <c r="B137" s="1">
        <v>899</v>
      </c>
      <c r="C137" s="1">
        <v>770.06</v>
      </c>
      <c r="D137" s="1">
        <v>9.3040000000000003</v>
      </c>
      <c r="E137" s="1">
        <v>9.2959999999999994</v>
      </c>
      <c r="F137" s="1">
        <v>21.51</v>
      </c>
    </row>
    <row r="138" spans="1:6">
      <c r="A138" s="4">
        <v>45966.6876711574</v>
      </c>
      <c r="B138" s="1">
        <v>788</v>
      </c>
      <c r="C138" s="1">
        <v>783.95</v>
      </c>
      <c r="D138" s="1">
        <v>9.1969999999999992</v>
      </c>
      <c r="E138" s="1">
        <v>9.1880000000000006</v>
      </c>
      <c r="F138" s="1">
        <v>21.51</v>
      </c>
    </row>
    <row r="139" spans="1:6">
      <c r="A139" s="4">
        <v>45966.687832523101</v>
      </c>
      <c r="B139" s="1">
        <v>730</v>
      </c>
      <c r="C139" s="1">
        <v>797.89</v>
      </c>
      <c r="D139" s="1">
        <v>9.0879999999999992</v>
      </c>
      <c r="E139" s="1">
        <v>9.08</v>
      </c>
      <c r="F139" s="1">
        <v>21.5</v>
      </c>
    </row>
    <row r="140" spans="1:6">
      <c r="A140" s="4">
        <v>45966.687982418996</v>
      </c>
      <c r="B140" s="1">
        <v>681</v>
      </c>
      <c r="C140" s="1">
        <v>810.85</v>
      </c>
      <c r="D140" s="1">
        <v>8.9879999999999995</v>
      </c>
      <c r="E140" s="1">
        <v>8.9809999999999999</v>
      </c>
      <c r="F140" s="1">
        <v>21.5</v>
      </c>
    </row>
    <row r="141" spans="1:6">
      <c r="A141" s="4">
        <v>45966.688154317097</v>
      </c>
      <c r="B141" s="1">
        <v>533</v>
      </c>
      <c r="C141" s="1">
        <v>825.7</v>
      </c>
      <c r="D141" s="1">
        <v>8.8849999999999998</v>
      </c>
      <c r="E141" s="1">
        <v>8.8689999999999998</v>
      </c>
      <c r="F141" s="1">
        <v>21.5</v>
      </c>
    </row>
    <row r="142" spans="1:6">
      <c r="A142" s="4">
        <v>45966.688315439802</v>
      </c>
      <c r="B142" s="1">
        <v>454</v>
      </c>
      <c r="C142" s="1">
        <v>839.62</v>
      </c>
      <c r="D142" s="1">
        <v>8.7799999999999994</v>
      </c>
      <c r="E142" s="1">
        <v>8.766</v>
      </c>
      <c r="F142" s="1">
        <v>21.5</v>
      </c>
    </row>
    <row r="143" spans="1:6">
      <c r="A143" s="4">
        <v>45966.688477048599</v>
      </c>
      <c r="B143" s="1">
        <v>417</v>
      </c>
      <c r="C143" s="1">
        <v>853.58</v>
      </c>
      <c r="D143" s="1">
        <v>8.6780000000000008</v>
      </c>
      <c r="E143" s="1">
        <v>8.6630000000000003</v>
      </c>
      <c r="F143" s="1">
        <v>21.5</v>
      </c>
    </row>
    <row r="144" spans="1:6">
      <c r="A144" s="4">
        <v>45966.688627650503</v>
      </c>
      <c r="B144" s="1">
        <v>429</v>
      </c>
      <c r="C144" s="1">
        <v>866.59</v>
      </c>
      <c r="D144" s="1">
        <v>8.577</v>
      </c>
      <c r="E144" s="1">
        <v>8.5679999999999996</v>
      </c>
      <c r="F144" s="1">
        <v>21.5</v>
      </c>
    </row>
    <row r="145" spans="1:6">
      <c r="A145" s="4">
        <v>45966.688810844898</v>
      </c>
      <c r="B145" s="1">
        <v>257</v>
      </c>
      <c r="C145" s="1">
        <v>882.42</v>
      </c>
      <c r="D145" s="1">
        <v>8.468</v>
      </c>
      <c r="E145" s="1">
        <v>8.4550000000000001</v>
      </c>
      <c r="F145" s="1">
        <v>21.49</v>
      </c>
    </row>
    <row r="146" spans="1:6">
      <c r="A146" s="4">
        <v>45966.688982604202</v>
      </c>
      <c r="B146" s="1">
        <v>97</v>
      </c>
      <c r="C146" s="1">
        <v>897.26</v>
      </c>
      <c r="D146" s="1">
        <v>8.3620000000000001</v>
      </c>
      <c r="E146" s="1">
        <v>8.35</v>
      </c>
      <c r="F146" s="1">
        <v>21.49</v>
      </c>
    </row>
    <row r="147" spans="1:6">
      <c r="A147" s="4">
        <v>45966.689132384301</v>
      </c>
      <c r="B147" s="1">
        <v>38</v>
      </c>
      <c r="C147" s="1">
        <v>910.2</v>
      </c>
      <c r="D147" s="1">
        <v>8.2609999999999992</v>
      </c>
      <c r="E147" s="1">
        <v>8.2590000000000003</v>
      </c>
      <c r="F147" s="1">
        <v>21.49</v>
      </c>
    </row>
    <row r="148" spans="1:6">
      <c r="A148" s="4">
        <v>45966.689316539298</v>
      </c>
      <c r="B148" s="1">
        <v>949</v>
      </c>
      <c r="C148" s="1">
        <v>926.11</v>
      </c>
      <c r="D148" s="1">
        <v>8.1590000000000007</v>
      </c>
      <c r="E148" s="1">
        <v>8.1489999999999991</v>
      </c>
      <c r="F148" s="1">
        <v>21.49</v>
      </c>
    </row>
    <row r="149" spans="1:6">
      <c r="A149" s="4">
        <v>45966.689490312499</v>
      </c>
      <c r="B149" s="1">
        <v>963</v>
      </c>
      <c r="C149" s="1">
        <v>941.13</v>
      </c>
      <c r="D149" s="1">
        <v>8.0510000000000002</v>
      </c>
      <c r="E149" s="1">
        <v>8.0470000000000006</v>
      </c>
      <c r="F149" s="1">
        <v>21.49</v>
      </c>
    </row>
    <row r="150" spans="1:6">
      <c r="A150" s="4">
        <v>45966.6896738426</v>
      </c>
      <c r="B150" s="1">
        <v>820</v>
      </c>
      <c r="C150" s="1">
        <v>956.98</v>
      </c>
      <c r="D150" s="1">
        <v>7.95</v>
      </c>
      <c r="E150" s="1">
        <v>7.94</v>
      </c>
      <c r="F150" s="1">
        <v>21.48</v>
      </c>
    </row>
    <row r="151" spans="1:6">
      <c r="A151" s="4">
        <v>45966.689858738398</v>
      </c>
      <c r="B151" s="1">
        <v>795</v>
      </c>
      <c r="C151" s="1">
        <v>972.96</v>
      </c>
      <c r="D151" s="1">
        <v>7.8410000000000002</v>
      </c>
      <c r="E151" s="1">
        <v>7.8339999999999996</v>
      </c>
      <c r="F151" s="1">
        <v>21.48</v>
      </c>
    </row>
    <row r="152" spans="1:6">
      <c r="A152" s="4">
        <v>45966.690038564797</v>
      </c>
      <c r="B152" s="1">
        <v>332</v>
      </c>
      <c r="C152" s="1">
        <v>988.5</v>
      </c>
      <c r="D152" s="1">
        <v>7.7389999999999999</v>
      </c>
      <c r="E152" s="1">
        <v>7.7320000000000002</v>
      </c>
      <c r="F152" s="1">
        <v>21.48</v>
      </c>
    </row>
    <row r="153" spans="1:6">
      <c r="A153" s="4">
        <v>45966.690222500001</v>
      </c>
      <c r="B153" s="1">
        <v>224</v>
      </c>
      <c r="C153" s="1">
        <v>1004.39</v>
      </c>
      <c r="D153" s="1">
        <v>7.6349999999999998</v>
      </c>
      <c r="E153" s="1">
        <v>7.6289999999999996</v>
      </c>
      <c r="F153" s="1">
        <v>21.48</v>
      </c>
    </row>
    <row r="154" spans="1:6">
      <c r="A154" s="4">
        <v>45966.690405509296</v>
      </c>
      <c r="B154" s="1">
        <v>36</v>
      </c>
      <c r="C154" s="1">
        <v>1020.2</v>
      </c>
      <c r="D154" s="1">
        <v>7.5339999999999998</v>
      </c>
      <c r="E154" s="1">
        <v>7.5279999999999996</v>
      </c>
      <c r="F154" s="1">
        <v>21.47</v>
      </c>
    </row>
    <row r="155" spans="1:6">
      <c r="A155" s="4">
        <v>45966.690556111098</v>
      </c>
      <c r="B155" s="1">
        <v>48</v>
      </c>
      <c r="C155" s="1">
        <v>1033.21</v>
      </c>
      <c r="D155" s="1">
        <v>7.423</v>
      </c>
      <c r="E155" s="1">
        <v>7.4459999999999997</v>
      </c>
      <c r="F155" s="1">
        <v>21.47</v>
      </c>
    </row>
    <row r="156" spans="1:6">
      <c r="A156" s="4">
        <v>45966.690793854199</v>
      </c>
      <c r="B156" s="1">
        <v>589</v>
      </c>
      <c r="C156" s="1">
        <v>1053.75</v>
      </c>
      <c r="D156" s="1">
        <v>7.319</v>
      </c>
      <c r="E156" s="1">
        <v>7.319</v>
      </c>
      <c r="F156" s="1">
        <v>21.47</v>
      </c>
    </row>
    <row r="157" spans="1:6">
      <c r="A157" s="4">
        <v>45966.690989004601</v>
      </c>
      <c r="B157" s="1">
        <v>450</v>
      </c>
      <c r="C157" s="1">
        <v>1070.6099999999999</v>
      </c>
      <c r="D157" s="1">
        <v>7.2089999999999996</v>
      </c>
      <c r="E157" s="1">
        <v>7.2160000000000002</v>
      </c>
      <c r="F157" s="1">
        <v>21.47</v>
      </c>
    </row>
    <row r="158" spans="1:6">
      <c r="A158" s="4">
        <v>45966.6912157755</v>
      </c>
      <c r="B158" s="1">
        <v>43</v>
      </c>
      <c r="C158" s="1">
        <v>1090.21</v>
      </c>
      <c r="D158" s="1">
        <v>7.0970000000000004</v>
      </c>
      <c r="E158" s="1">
        <v>7.0979999999999999</v>
      </c>
      <c r="F158" s="1">
        <v>21.47</v>
      </c>
    </row>
    <row r="159" spans="1:6">
      <c r="A159" s="4">
        <v>45966.691409756902</v>
      </c>
      <c r="B159" s="1">
        <v>803</v>
      </c>
      <c r="C159" s="1">
        <v>1106.97</v>
      </c>
      <c r="D159" s="1">
        <v>6.9909999999999997</v>
      </c>
      <c r="E159" s="1">
        <v>6.9989999999999997</v>
      </c>
      <c r="F159" s="1">
        <v>21.47</v>
      </c>
    </row>
    <row r="160" spans="1:6">
      <c r="A160" s="4">
        <v>45966.691637326403</v>
      </c>
      <c r="B160" s="1">
        <v>465</v>
      </c>
      <c r="C160" s="1">
        <v>1126.6300000000001</v>
      </c>
      <c r="D160" s="1">
        <v>6.8890000000000002</v>
      </c>
      <c r="E160" s="1">
        <v>6.8849999999999998</v>
      </c>
      <c r="F160" s="1">
        <v>21.47</v>
      </c>
    </row>
    <row r="161" spans="1:6">
      <c r="A161" s="4">
        <v>45966.691831296303</v>
      </c>
      <c r="B161" s="1">
        <v>224</v>
      </c>
      <c r="C161" s="1">
        <v>1143.3900000000001</v>
      </c>
      <c r="D161" s="1">
        <v>6.7869999999999999</v>
      </c>
      <c r="E161" s="1">
        <v>6.7889999999999997</v>
      </c>
      <c r="F161" s="1">
        <v>21.47</v>
      </c>
    </row>
    <row r="162" spans="1:6">
      <c r="A162" s="4">
        <v>45966.692047222197</v>
      </c>
      <c r="B162" s="1">
        <v>880</v>
      </c>
      <c r="C162" s="1">
        <v>1162.04</v>
      </c>
      <c r="D162" s="1">
        <v>6.6859999999999999</v>
      </c>
      <c r="E162" s="1">
        <v>6.6829999999999998</v>
      </c>
      <c r="F162" s="1">
        <v>21.46</v>
      </c>
    </row>
    <row r="163" spans="1:6">
      <c r="A163" s="4">
        <v>45966.692263564801</v>
      </c>
      <c r="B163" s="1">
        <v>572</v>
      </c>
      <c r="C163" s="1">
        <v>1180.74</v>
      </c>
      <c r="D163" s="1">
        <v>6.58</v>
      </c>
      <c r="E163" s="1">
        <v>6.5789999999999997</v>
      </c>
      <c r="F163" s="1">
        <v>21.46</v>
      </c>
    </row>
    <row r="164" spans="1:6">
      <c r="A164" s="4">
        <v>45966.692479537</v>
      </c>
      <c r="B164" s="1">
        <v>232</v>
      </c>
      <c r="C164" s="1">
        <v>1199.4000000000001</v>
      </c>
      <c r="D164" s="1">
        <v>6.4790000000000001</v>
      </c>
      <c r="E164" s="1">
        <v>6.4770000000000003</v>
      </c>
      <c r="F164" s="1">
        <v>21.46</v>
      </c>
    </row>
    <row r="165" spans="1:6">
      <c r="A165" s="4">
        <v>45966.6926954398</v>
      </c>
      <c r="B165" s="1">
        <v>886</v>
      </c>
      <c r="C165" s="1">
        <v>1218.05</v>
      </c>
      <c r="D165" s="1">
        <v>6.3769999999999998</v>
      </c>
      <c r="E165" s="1">
        <v>6.3769999999999998</v>
      </c>
      <c r="F165" s="1">
        <v>21.46</v>
      </c>
    </row>
    <row r="166" spans="1:6">
      <c r="A166" s="4">
        <v>45966.692922546303</v>
      </c>
      <c r="B166" s="1">
        <v>508</v>
      </c>
      <c r="C166" s="1">
        <v>1237.67</v>
      </c>
      <c r="D166" s="1">
        <v>6.2709999999999999</v>
      </c>
      <c r="E166" s="1">
        <v>6.2729999999999997</v>
      </c>
      <c r="F166" s="1">
        <v>21.46</v>
      </c>
    </row>
    <row r="167" spans="1:6">
      <c r="A167" s="4">
        <v>45966.693161226904</v>
      </c>
      <c r="B167" s="1">
        <v>130</v>
      </c>
      <c r="C167" s="1">
        <v>1258.29</v>
      </c>
      <c r="D167" s="1">
        <v>6.165</v>
      </c>
      <c r="E167" s="1">
        <v>6.1660000000000004</v>
      </c>
      <c r="F167" s="1">
        <v>21.45</v>
      </c>
    </row>
    <row r="168" spans="1:6">
      <c r="A168" s="4">
        <v>45966.6933988194</v>
      </c>
      <c r="B168" s="1">
        <v>658</v>
      </c>
      <c r="C168" s="1">
        <v>1278.82</v>
      </c>
      <c r="D168" s="1">
        <v>6.0609999999999999</v>
      </c>
      <c r="E168" s="1">
        <v>6.0609999999999999</v>
      </c>
      <c r="F168" s="1">
        <v>21.45</v>
      </c>
    </row>
    <row r="169" spans="1:6">
      <c r="A169" s="4"/>
    </row>
    <row r="170" spans="1:6">
      <c r="A170" s="4"/>
    </row>
    <row r="171" spans="1:6">
      <c r="A171" s="4"/>
    </row>
    <row r="172" spans="1:6">
      <c r="A172" s="4"/>
    </row>
    <row r="173" spans="1:6">
      <c r="A173" s="4"/>
    </row>
    <row r="174" spans="1:6">
      <c r="A174" s="4"/>
    </row>
    <row r="175" spans="1:6">
      <c r="A175" s="4"/>
    </row>
    <row r="176" spans="1:6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5954E7-6696-42A4-BD5B-7AE360BA15B9}"/>
</file>

<file path=customXml/itemProps2.xml><?xml version="1.0" encoding="utf-8"?>
<ds:datastoreItem xmlns:ds="http://schemas.openxmlformats.org/officeDocument/2006/customXml" ds:itemID="{79DB6418-DFED-45F3-B4B9-5A2550724CC0}"/>
</file>

<file path=customXml/itemProps3.xml><?xml version="1.0" encoding="utf-8"?>
<ds:datastoreItem xmlns:ds="http://schemas.openxmlformats.org/officeDocument/2006/customXml" ds:itemID="{C294BE63-4A46-4702-B0DB-04D2623C33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Rod, Kenton A</cp:lastModifiedBy>
  <cp:revision/>
  <dcterms:created xsi:type="dcterms:W3CDTF">2017-12-12T14:35:01Z</dcterms:created>
  <dcterms:modified xsi:type="dcterms:W3CDTF">2025-12-09T23:36:30Z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
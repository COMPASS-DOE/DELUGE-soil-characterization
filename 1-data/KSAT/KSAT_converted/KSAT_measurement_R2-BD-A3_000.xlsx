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<sst xmlns="http://schemas.openxmlformats.org/spreadsheetml/2006/main" count="107" uniqueCount="106">
  <si>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</si>
  <si>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</si>
  <si>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</si>
  <si>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</si>
  <si>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</si>
  <si>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</si>
  <si>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</si>
  <si>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</si>
  <si>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</si>
  <si>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</si>
  <si>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</si>
  <si>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</si>
  <si>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KSAT_measurement_R2-BD-A3_000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</si>
  <si>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</si>
  <si>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</si>
  <si>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</si>
  <si>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</si>
  <si>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</si>
  <si>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</si>
  <si>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</si>
  <si>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</si>
  <si>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</si>
  <si>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</si>
  <si>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</si>
  <si>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</si>
  <si>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</si>
  <si>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</si>
  <si>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</si>
  <si>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</si>
  <si>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</si>
  <si>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</si>
  <si>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</si>
  <si>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</si>
  <si>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</si>
  <si>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</si>
  <si>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</si>
  <si>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</si>
  <si>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</si>
  <si>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</si>
  <si>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</si>
  <si>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</si>
  <si>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</si>
  <si>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</si>
  <si>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</si>
  <si>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</si>
  <si>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</si>
  <si>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</si>
  <si>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</si>
  <si>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</si>
  <si>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</si>
  <si>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</si>
  <si>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</si>
  <si>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</si>
  <si>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</si>
  <si>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</si>
  <si>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</si>
  <si>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</si>
  <si>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</si>
  <si>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</si>
  <si>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</si>
  <si>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</si>
  <si>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</si>
  <si>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</si>
  <si>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</si>
  <si>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</si>
  <si>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11/6/2025 11:57:47 AM</t>
  </si>
  <si>
    <t>Test duration</t>
  </si>
  <si>
    <t>00:04:03</t>
  </si>
  <si>
    <t>RESULT</t>
  </si>
  <si>
    <t>Use auto offset adjustment</t>
  </si>
  <si>
    <t>Max offset adjustment [cm]</t>
  </si>
  <si>
    <t>1</t>
  </si>
  <si>
    <t>Fitting Parameter a [cm]</t>
  </si>
  <si>
    <t>19.33</t>
  </si>
  <si>
    <t>coefficient a of the fitted exponential pressure head decrease function y = a * exp(-b*t)+c, where y is the pressure head in cm and t is time in s</t>
  </si>
  <si>
    <t>Fitting Parameter b [s-1]</t>
  </si>
  <si>
    <t>-5.17E-03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</si>
  <si>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</si>
  <si>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</si>
  <si>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</si>
  <si>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</si>
  <si>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0.9997</t>
  </si>
  <si>
    <t>coefficient of determination of the exponential pressure head decrease function that is fitted to the observed data</t>
  </si>
  <si>
    <t>Ks Total [cm/d]</t>
  </si>
  <si>
    <t>638.751</t>
  </si>
  <si>
    <t>Saturated hydraulic conductivity [cm/d] of the entire system</t>
  </si>
  <si>
    <t>Ks Total [m/s]</t>
  </si>
  <si>
    <t>7.43E-05</t>
  </si>
  <si>
    <t>Saturated hydraulic conductivity [m/s] of the entire system</t>
  </si>
  <si>
    <t>Ks Soil [cm/d]</t>
  </si>
  <si>
    <t>529.712</t>
  </si>
  <si>
    <t>Saturated hydraulic conductivity [cm/d] of the soil sample itself</t>
  </si>
  <si>
    <t>Ks Soil [m/s]</t>
  </si>
  <si>
    <t>6.16E-05</t>
  </si>
  <si>
    <t>Saturated hydraulic conductivity [m/s] of the soil sample itself</t>
  </si>
  <si>
    <t>518.699</t>
  </si>
  <si>
    <t>Saturated hydraulic conductivity [cm/d] of the soil sample  normalized to 10 °C mean field temperature</t>
  </si>
  <si>
    <t>6.03E-05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</si>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</sst>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6" sqref="A6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71</v>
      </c>
      <c r="C45" t="s">
        <v>79</v>
      </c>
    </row>
    <row r="46" spans="1:3" x14ac:dyDescent="0.2">
      <c r="A46" t="s">
        <v>80</v>
      </c>
      <c r="B46" t="s">
        <v>81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s="3" t="s">
        <v>87</v>
      </c>
      <c r="C48" s="3" t="s">
        <v>88</v>
      </c>
    </row>
    <row r="49" spans="1:6" x14ac:dyDescent="0.2">
      <c r="A49" t="s">
        <v>89</v>
      </c>
      <c r="B49" t="s">
        <v>90</v>
      </c>
      <c r="C49" t="s">
        <v>91</v>
      </c>
    </row>
    <row r="50" spans="1:6" x14ac:dyDescent="0.2">
      <c r="A50" t="s">
        <v>92</v>
      </c>
      <c r="B50" s="3" t="s">
        <v>93</v>
      </c>
      <c r="C50" s="3" t="s">
        <v>94</v>
      </c>
    </row>
    <row r="51" spans="1:6" x14ac:dyDescent="0.2">
      <c r="A51" t="str">
        <f>CONCATENATE("Ks Soil normalized at ",B32," °C [cm/d]")</f>
        <v>Ks Soil normalized at 20 °C [cm/d]</v>
      </c>
      <c r="B51" t="s">
        <v>95</v>
      </c>
      <c r="C51" t="s">
        <v>96</v>
      </c>
    </row>
    <row r="52" spans="1:6" x14ac:dyDescent="0.2">
      <c r="A52" t="str">
        <f>CONCATENATE("Ks Soil normalized at ",B32," °C [m/s]")</f>
        <v>Ks Soil normalized at 20 °C [m/s]</v>
      </c>
      <c r="B52" s="3" t="s">
        <v>97</v>
      </c>
      <c r="C52" s="3" t="s">
        <v>98</v>
      </c>
    </row>
    <row r="54" spans="1:6" x14ac:dyDescent="0.2">
      <c r="A54" t="s">
        <v>99</v>
      </c>
    </row>
    <row r="55" spans="1:6" x14ac:dyDescent="0.2">
      <c r="A55" s="1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</row>
    <row r="56" spans="1:6" x14ac:dyDescent="0.2">
      <c r="A56" s="4">
        <v>45967.498466354198</v>
      </c>
      <c r="B56">
        <v>493</v>
      </c>
      <c r="C56">
        <v>0</v>
      </c>
      <c r="D56">
        <v>18.327999999999999</v>
      </c>
      <c r="E56">
        <v>18.327999999999999</v>
      </c>
      <c r="F56">
        <v>20.87</v>
      </c>
    </row>
    <row r="57" spans="1:6" x14ac:dyDescent="0.2">
      <c r="A57" s="4">
        <v>45967.498523414397</v>
      </c>
      <c r="B57">
        <v>423</v>
      </c>
      <c r="C57">
        <v>4.93</v>
      </c>
      <c r="D57">
        <v>17.849</v>
      </c>
      <c r="E57">
        <v>17.841999999999999</v>
      </c>
      <c r="F57">
        <v>20.87</v>
      </c>
    </row>
    <row r="58" spans="1:6" x14ac:dyDescent="0.2">
      <c r="A58" s="4">
        <v>45967.498534525497</v>
      </c>
      <c r="B58">
        <v>383</v>
      </c>
      <c r="C58">
        <v>5.89</v>
      </c>
      <c r="D58">
        <v>17.742000000000001</v>
      </c>
      <c r="E58">
        <v>17.748999999999999</v>
      </c>
      <c r="F58">
        <v>20.87</v>
      </c>
    </row>
    <row r="59" spans="1:6" x14ac:dyDescent="0.2">
      <c r="A59" s="4">
        <v>45967.498548182899</v>
      </c>
      <c r="B59">
        <v>563</v>
      </c>
      <c r="C59">
        <v>7.07</v>
      </c>
      <c r="D59">
        <v>17.626999999999999</v>
      </c>
      <c r="E59">
        <v>17.635000000000002</v>
      </c>
      <c r="F59">
        <v>20.88</v>
      </c>
    </row>
    <row r="60" spans="1:6" x14ac:dyDescent="0.2">
      <c r="A60" s="4">
        <v>45967.498566932903</v>
      </c>
      <c r="B60">
        <v>183</v>
      </c>
      <c r="C60">
        <v>8.69</v>
      </c>
      <c r="D60">
        <v>17.48</v>
      </c>
      <c r="E60">
        <v>17.478999999999999</v>
      </c>
      <c r="F60">
        <v>20.88</v>
      </c>
    </row>
    <row r="61" spans="1:6" x14ac:dyDescent="0.2">
      <c r="A61" s="4">
        <v>45967.498586030102</v>
      </c>
      <c r="B61">
        <v>833</v>
      </c>
      <c r="C61">
        <v>10.34</v>
      </c>
      <c r="D61">
        <v>17.306999999999999</v>
      </c>
      <c r="E61">
        <v>17.323</v>
      </c>
      <c r="F61">
        <v>20.88</v>
      </c>
    </row>
    <row r="62" spans="1:6" x14ac:dyDescent="0.2">
      <c r="A62" s="4">
        <v>45967.498604317101</v>
      </c>
      <c r="B62">
        <v>413</v>
      </c>
      <c r="C62">
        <v>11.92</v>
      </c>
      <c r="D62">
        <v>17.16</v>
      </c>
      <c r="E62">
        <v>17.173999999999999</v>
      </c>
      <c r="F62">
        <v>20.88</v>
      </c>
    </row>
    <row r="63" spans="1:6" x14ac:dyDescent="0.2">
      <c r="A63" s="4">
        <v>45967.498623425898</v>
      </c>
      <c r="B63">
        <v>64</v>
      </c>
      <c r="C63">
        <v>13.57</v>
      </c>
      <c r="D63">
        <v>17.015999999999998</v>
      </c>
      <c r="E63">
        <v>17.018999999999998</v>
      </c>
      <c r="F63">
        <v>20.88</v>
      </c>
    </row>
    <row r="64" spans="1:6" x14ac:dyDescent="0.2">
      <c r="A64" s="4">
        <v>45967.498641828701</v>
      </c>
      <c r="B64">
        <v>654</v>
      </c>
      <c r="C64">
        <v>15.16</v>
      </c>
      <c r="D64">
        <v>16.879000000000001</v>
      </c>
      <c r="E64">
        <v>16.872</v>
      </c>
      <c r="F64">
        <v>20.88</v>
      </c>
    </row>
    <row r="65" spans="1:6" x14ac:dyDescent="0.2">
      <c r="A65" s="4">
        <v>45967.498660335601</v>
      </c>
      <c r="B65">
        <v>253</v>
      </c>
      <c r="C65">
        <v>16.760000000000002</v>
      </c>
      <c r="D65">
        <v>16.742999999999999</v>
      </c>
      <c r="E65">
        <v>16.725000000000001</v>
      </c>
      <c r="F65">
        <v>20.88</v>
      </c>
    </row>
    <row r="66" spans="1:6" x14ac:dyDescent="0.2">
      <c r="A66" s="4">
        <v>45967.498689398097</v>
      </c>
      <c r="B66">
        <v>764</v>
      </c>
      <c r="C66">
        <v>19.27</v>
      </c>
      <c r="D66">
        <v>16.544</v>
      </c>
      <c r="E66">
        <v>16.495999999999999</v>
      </c>
      <c r="F66">
        <v>20.88</v>
      </c>
    </row>
    <row r="67" spans="1:6" x14ac:dyDescent="0.2">
      <c r="A67" s="4">
        <v>45967.498707106497</v>
      </c>
      <c r="B67">
        <v>294</v>
      </c>
      <c r="C67">
        <v>20.8</v>
      </c>
      <c r="D67">
        <v>16.408000000000001</v>
      </c>
      <c r="E67">
        <v>16.359000000000002</v>
      </c>
      <c r="F67">
        <v>20.88</v>
      </c>
    </row>
    <row r="68" spans="1:6" x14ac:dyDescent="0.2">
      <c r="A68" s="4">
        <v>45967.498726782404</v>
      </c>
      <c r="B68">
        <v>994</v>
      </c>
      <c r="C68">
        <v>22.5</v>
      </c>
      <c r="D68">
        <v>16.263999999999999</v>
      </c>
      <c r="E68">
        <v>16.207000000000001</v>
      </c>
      <c r="F68">
        <v>20.88</v>
      </c>
    </row>
    <row r="69" spans="1:6" x14ac:dyDescent="0.2">
      <c r="A69" s="4">
        <v>45967.4987457639</v>
      </c>
      <c r="B69">
        <v>634</v>
      </c>
      <c r="C69">
        <v>24.14</v>
      </c>
      <c r="D69">
        <v>16.13</v>
      </c>
      <c r="E69">
        <v>16.062000000000001</v>
      </c>
      <c r="F69">
        <v>20.88</v>
      </c>
    </row>
    <row r="70" spans="1:6" x14ac:dyDescent="0.2">
      <c r="A70" s="4">
        <v>45967.498764513897</v>
      </c>
      <c r="B70">
        <v>254</v>
      </c>
      <c r="C70">
        <v>25.76</v>
      </c>
      <c r="D70">
        <v>16.007999999999999</v>
      </c>
      <c r="E70">
        <v>15.92</v>
      </c>
      <c r="F70">
        <v>20.88</v>
      </c>
    </row>
    <row r="71" spans="1:6" x14ac:dyDescent="0.2">
      <c r="A71" s="4">
        <v>45967.498785463002</v>
      </c>
      <c r="B71">
        <v>64</v>
      </c>
      <c r="C71">
        <v>27.57</v>
      </c>
      <c r="D71">
        <v>15.852</v>
      </c>
      <c r="E71">
        <v>15.762</v>
      </c>
      <c r="F71">
        <v>20.87</v>
      </c>
    </row>
    <row r="72" spans="1:6" x14ac:dyDescent="0.2">
      <c r="A72" s="4">
        <v>45967.498804224502</v>
      </c>
      <c r="B72">
        <v>685</v>
      </c>
      <c r="C72">
        <v>29.19</v>
      </c>
      <c r="D72">
        <v>15.694000000000001</v>
      </c>
      <c r="E72">
        <v>15.622</v>
      </c>
      <c r="F72">
        <v>20.87</v>
      </c>
    </row>
    <row r="73" spans="1:6" x14ac:dyDescent="0.2">
      <c r="A73" s="4">
        <v>45967.498823668997</v>
      </c>
      <c r="B73">
        <v>365</v>
      </c>
      <c r="C73">
        <v>30.87</v>
      </c>
      <c r="D73">
        <v>15.568</v>
      </c>
      <c r="E73">
        <v>15.478999999999999</v>
      </c>
      <c r="F73">
        <v>20.87</v>
      </c>
    </row>
    <row r="74" spans="1:6" x14ac:dyDescent="0.2">
      <c r="A74" s="4">
        <v>45967.498842187502</v>
      </c>
      <c r="B74">
        <v>965</v>
      </c>
      <c r="C74">
        <v>32.47</v>
      </c>
      <c r="D74">
        <v>15.44</v>
      </c>
      <c r="E74">
        <v>15.343</v>
      </c>
      <c r="F74">
        <v>20.87</v>
      </c>
    </row>
    <row r="75" spans="1:6" x14ac:dyDescent="0.2">
      <c r="A75" s="4">
        <v>45967.498861400498</v>
      </c>
      <c r="B75">
        <v>625</v>
      </c>
      <c r="C75">
        <v>34.130000000000003</v>
      </c>
      <c r="D75">
        <v>15.317</v>
      </c>
      <c r="E75">
        <v>15.202999999999999</v>
      </c>
      <c r="F75">
        <v>20.87</v>
      </c>
    </row>
    <row r="76" spans="1:6" x14ac:dyDescent="0.2">
      <c r="A76" s="4">
        <v>45967.498880960702</v>
      </c>
      <c r="B76">
        <v>315</v>
      </c>
      <c r="C76">
        <v>35.82</v>
      </c>
      <c r="D76">
        <v>15.157</v>
      </c>
      <c r="E76">
        <v>15.063000000000001</v>
      </c>
      <c r="F76">
        <v>20.87</v>
      </c>
    </row>
    <row r="77" spans="1:6" x14ac:dyDescent="0.2">
      <c r="A77" s="4">
        <v>45967.498900023202</v>
      </c>
      <c r="B77">
        <v>962</v>
      </c>
      <c r="C77">
        <v>37.47</v>
      </c>
      <c r="D77">
        <v>15.029</v>
      </c>
      <c r="E77">
        <v>14.927</v>
      </c>
      <c r="F77">
        <v>20.87</v>
      </c>
    </row>
    <row r="78" spans="1:6" x14ac:dyDescent="0.2">
      <c r="A78" s="4">
        <v>45967.498918078702</v>
      </c>
      <c r="B78">
        <v>522</v>
      </c>
      <c r="C78">
        <v>39.03</v>
      </c>
      <c r="D78">
        <v>14.91</v>
      </c>
      <c r="E78">
        <v>14.798999999999999</v>
      </c>
      <c r="F78">
        <v>20.87</v>
      </c>
    </row>
    <row r="79" spans="1:6" x14ac:dyDescent="0.2">
      <c r="A79" s="4">
        <v>45967.4989373032</v>
      </c>
      <c r="B79">
        <v>183</v>
      </c>
      <c r="C79">
        <v>40.69</v>
      </c>
      <c r="D79">
        <v>14.786</v>
      </c>
      <c r="E79">
        <v>14.664</v>
      </c>
      <c r="F79">
        <v>20.87</v>
      </c>
    </row>
    <row r="80" spans="1:6" x14ac:dyDescent="0.2">
      <c r="A80" s="4">
        <v>45967.498966701402</v>
      </c>
      <c r="B80">
        <v>723</v>
      </c>
      <c r="C80">
        <v>43.23</v>
      </c>
      <c r="D80">
        <v>14.6</v>
      </c>
      <c r="E80">
        <v>14.46</v>
      </c>
      <c r="F80">
        <v>20.87</v>
      </c>
    </row>
    <row r="81" spans="1:6" x14ac:dyDescent="0.2">
      <c r="A81" s="4">
        <v>45967.4989849884</v>
      </c>
      <c r="B81">
        <v>303</v>
      </c>
      <c r="C81">
        <v>44.81</v>
      </c>
      <c r="D81">
        <v>14.472</v>
      </c>
      <c r="E81">
        <v>14.334</v>
      </c>
      <c r="F81">
        <v>20.87</v>
      </c>
    </row>
    <row r="82" spans="1:6" x14ac:dyDescent="0.2">
      <c r="A82" s="4">
        <v>45967.499003506899</v>
      </c>
      <c r="B82">
        <v>903</v>
      </c>
      <c r="C82">
        <v>46.41</v>
      </c>
      <c r="D82">
        <v>14.356</v>
      </c>
      <c r="E82">
        <v>14.208</v>
      </c>
      <c r="F82">
        <v>20.88</v>
      </c>
    </row>
    <row r="83" spans="1:6" x14ac:dyDescent="0.2">
      <c r="A83" s="4">
        <v>45967.499022719901</v>
      </c>
      <c r="B83">
        <v>563</v>
      </c>
      <c r="C83">
        <v>48.07</v>
      </c>
      <c r="D83">
        <v>14.231</v>
      </c>
      <c r="E83">
        <v>14.077999999999999</v>
      </c>
      <c r="F83">
        <v>20.88</v>
      </c>
    </row>
    <row r="84" spans="1:6" x14ac:dyDescent="0.2">
      <c r="A84" s="4">
        <v>45967.499041469899</v>
      </c>
      <c r="B84">
        <v>183</v>
      </c>
      <c r="C84">
        <v>49.69</v>
      </c>
      <c r="D84">
        <v>14.093</v>
      </c>
      <c r="E84">
        <v>13.952</v>
      </c>
      <c r="F84">
        <v>20.88</v>
      </c>
    </row>
    <row r="85" spans="1:6" x14ac:dyDescent="0.2">
      <c r="A85" s="4">
        <v>45967.499060451402</v>
      </c>
      <c r="B85">
        <v>823</v>
      </c>
      <c r="C85">
        <v>51.33</v>
      </c>
      <c r="D85">
        <v>13.978</v>
      </c>
      <c r="E85">
        <v>13.826000000000001</v>
      </c>
      <c r="F85">
        <v>20.88</v>
      </c>
    </row>
    <row r="86" spans="1:6" x14ac:dyDescent="0.2">
      <c r="A86" s="4">
        <v>45967.499080011599</v>
      </c>
      <c r="B86">
        <v>513</v>
      </c>
      <c r="C86">
        <v>53.02</v>
      </c>
      <c r="D86">
        <v>13.829000000000001</v>
      </c>
      <c r="E86">
        <v>13.696999999999999</v>
      </c>
      <c r="F86">
        <v>20.88</v>
      </c>
    </row>
    <row r="87" spans="1:6" x14ac:dyDescent="0.2">
      <c r="A87" s="4">
        <v>45967.499099108798</v>
      </c>
      <c r="B87">
        <v>163</v>
      </c>
      <c r="C87">
        <v>54.67</v>
      </c>
      <c r="D87">
        <v>13.7</v>
      </c>
      <c r="E87">
        <v>13.571999999999999</v>
      </c>
      <c r="F87">
        <v>20.88</v>
      </c>
    </row>
    <row r="88" spans="1:6" x14ac:dyDescent="0.2">
      <c r="A88" s="4">
        <v>45967.499116701401</v>
      </c>
      <c r="B88">
        <v>683</v>
      </c>
      <c r="C88">
        <v>56.19</v>
      </c>
      <c r="D88">
        <v>13.587</v>
      </c>
      <c r="E88">
        <v>13.458</v>
      </c>
      <c r="F88">
        <v>20.88</v>
      </c>
    </row>
    <row r="89" spans="1:6" x14ac:dyDescent="0.2">
      <c r="A89" s="4">
        <v>45967.4991477199</v>
      </c>
      <c r="B89">
        <v>363</v>
      </c>
      <c r="C89">
        <v>58.87</v>
      </c>
      <c r="D89">
        <v>13.427</v>
      </c>
      <c r="E89">
        <v>13.26</v>
      </c>
      <c r="F89">
        <v>20.88</v>
      </c>
    </row>
    <row r="90" spans="1:6" x14ac:dyDescent="0.2">
      <c r="A90" s="4">
        <v>45967.499166238398</v>
      </c>
      <c r="B90">
        <v>963</v>
      </c>
      <c r="C90">
        <v>60.47</v>
      </c>
      <c r="D90">
        <v>13.32</v>
      </c>
      <c r="E90">
        <v>13.141999999999999</v>
      </c>
      <c r="F90">
        <v>20.88</v>
      </c>
    </row>
    <row r="91" spans="1:6" x14ac:dyDescent="0.2">
      <c r="A91" s="4">
        <v>45967.4991851042</v>
      </c>
      <c r="B91">
        <v>593</v>
      </c>
      <c r="C91">
        <v>62.1</v>
      </c>
      <c r="D91">
        <v>13.206</v>
      </c>
      <c r="E91">
        <v>13.023999999999999</v>
      </c>
      <c r="F91">
        <v>20.88</v>
      </c>
    </row>
    <row r="92" spans="1:6" x14ac:dyDescent="0.2">
      <c r="A92" s="4">
        <v>45967.499204097199</v>
      </c>
      <c r="B92">
        <v>234</v>
      </c>
      <c r="C92">
        <v>63.74</v>
      </c>
      <c r="D92">
        <v>13.098000000000001</v>
      </c>
      <c r="E92">
        <v>12.904999999999999</v>
      </c>
      <c r="F92">
        <v>20.88</v>
      </c>
    </row>
    <row r="93" spans="1:6" x14ac:dyDescent="0.2">
      <c r="A93" s="4">
        <v>45967.4992223843</v>
      </c>
      <c r="B93">
        <v>814</v>
      </c>
      <c r="C93">
        <v>65.319999999999993</v>
      </c>
      <c r="D93">
        <v>12.99</v>
      </c>
      <c r="E93">
        <v>12.792</v>
      </c>
      <c r="F93">
        <v>20.88</v>
      </c>
    </row>
    <row r="94" spans="1:6" x14ac:dyDescent="0.2">
      <c r="A94" s="4">
        <v>45967.499241597201</v>
      </c>
      <c r="B94">
        <v>474</v>
      </c>
      <c r="C94">
        <v>66.98</v>
      </c>
      <c r="D94">
        <v>12.85</v>
      </c>
      <c r="E94">
        <v>12.673999999999999</v>
      </c>
      <c r="F94">
        <v>20.88</v>
      </c>
    </row>
    <row r="95" spans="1:6" x14ac:dyDescent="0.2">
      <c r="A95" s="4">
        <v>45967.499271921297</v>
      </c>
      <c r="B95">
        <v>94</v>
      </c>
      <c r="C95">
        <v>69.599999999999994</v>
      </c>
      <c r="D95">
        <v>12.696</v>
      </c>
      <c r="E95">
        <v>12.491</v>
      </c>
      <c r="F95">
        <v>20.88</v>
      </c>
    </row>
    <row r="96" spans="1:6" x14ac:dyDescent="0.2">
      <c r="A96" s="4">
        <v>45967.499290208303</v>
      </c>
      <c r="B96">
        <v>674</v>
      </c>
      <c r="C96">
        <v>71.180000000000007</v>
      </c>
      <c r="D96">
        <v>12.583</v>
      </c>
      <c r="E96">
        <v>12.381</v>
      </c>
      <c r="F96">
        <v>20.88</v>
      </c>
    </row>
    <row r="97" spans="1:6" x14ac:dyDescent="0.2">
      <c r="A97" s="4">
        <v>45967.499309421299</v>
      </c>
      <c r="B97">
        <v>334</v>
      </c>
      <c r="C97">
        <v>72.84</v>
      </c>
      <c r="D97">
        <v>12.468</v>
      </c>
      <c r="E97">
        <v>12.266999999999999</v>
      </c>
      <c r="F97">
        <v>20.88</v>
      </c>
    </row>
    <row r="98" spans="1:6" x14ac:dyDescent="0.2">
      <c r="A98" s="4">
        <v>45967.499328171303</v>
      </c>
      <c r="B98">
        <v>954</v>
      </c>
      <c r="C98">
        <v>74.459999999999994</v>
      </c>
      <c r="D98">
        <v>12.361000000000001</v>
      </c>
      <c r="E98">
        <v>12.156000000000001</v>
      </c>
      <c r="F98">
        <v>20.88</v>
      </c>
    </row>
    <row r="99" spans="1:6" x14ac:dyDescent="0.2">
      <c r="A99" s="4">
        <v>45967.4993471528</v>
      </c>
      <c r="B99">
        <v>594</v>
      </c>
      <c r="C99">
        <v>76.099999999999994</v>
      </c>
      <c r="D99">
        <v>12.255000000000001</v>
      </c>
      <c r="E99">
        <v>12.045</v>
      </c>
      <c r="F99">
        <v>20.88</v>
      </c>
    </row>
    <row r="100" spans="1:6" x14ac:dyDescent="0.2">
      <c r="A100" s="4">
        <v>45967.499365902797</v>
      </c>
      <c r="B100">
        <v>214</v>
      </c>
      <c r="C100">
        <v>77.72</v>
      </c>
      <c r="D100">
        <v>12.151</v>
      </c>
      <c r="E100">
        <v>11.936</v>
      </c>
      <c r="F100">
        <v>20.88</v>
      </c>
    </row>
    <row r="101" spans="1:6" x14ac:dyDescent="0.2">
      <c r="A101" s="4">
        <v>45967.499384768496</v>
      </c>
      <c r="B101">
        <v>844</v>
      </c>
      <c r="C101">
        <v>79.349999999999994</v>
      </c>
      <c r="D101">
        <v>12.016</v>
      </c>
      <c r="E101">
        <v>11.827999999999999</v>
      </c>
      <c r="F101">
        <v>20.88</v>
      </c>
    </row>
    <row r="102" spans="1:6" x14ac:dyDescent="0.2">
      <c r="A102" s="4">
        <v>45967.499403402799</v>
      </c>
      <c r="B102">
        <v>454</v>
      </c>
      <c r="C102">
        <v>80.959999999999994</v>
      </c>
      <c r="D102">
        <v>11.911</v>
      </c>
      <c r="E102">
        <v>11.722</v>
      </c>
      <c r="F102">
        <v>20.88</v>
      </c>
    </row>
    <row r="103" spans="1:6" x14ac:dyDescent="0.2">
      <c r="A103" s="4">
        <v>45967.499422152803</v>
      </c>
      <c r="B103">
        <v>74</v>
      </c>
      <c r="C103">
        <v>82.58</v>
      </c>
      <c r="D103">
        <v>11.807</v>
      </c>
      <c r="E103">
        <v>11.616</v>
      </c>
      <c r="F103">
        <v>20.88</v>
      </c>
    </row>
    <row r="104" spans="1:6" x14ac:dyDescent="0.2">
      <c r="A104" s="4">
        <v>45967.4994411343</v>
      </c>
      <c r="B104">
        <v>714</v>
      </c>
      <c r="C104">
        <v>84.22</v>
      </c>
      <c r="D104">
        <v>11.707000000000001</v>
      </c>
      <c r="E104">
        <v>11.509</v>
      </c>
      <c r="F104">
        <v>20.88</v>
      </c>
    </row>
    <row r="105" spans="1:6" x14ac:dyDescent="0.2">
      <c r="A105" s="4">
        <v>45967.499460115701</v>
      </c>
      <c r="B105">
        <v>354</v>
      </c>
      <c r="C105">
        <v>85.86</v>
      </c>
      <c r="D105">
        <v>11.606</v>
      </c>
      <c r="E105">
        <v>11.404</v>
      </c>
      <c r="F105">
        <v>20.88</v>
      </c>
    </row>
    <row r="106" spans="1:6" x14ac:dyDescent="0.2">
      <c r="A106" s="4">
        <v>45967.499479560203</v>
      </c>
      <c r="B106">
        <v>34</v>
      </c>
      <c r="C106">
        <v>87.54</v>
      </c>
      <c r="D106">
        <v>11.500999999999999</v>
      </c>
      <c r="E106">
        <v>11.295999999999999</v>
      </c>
      <c r="F106">
        <v>20.88</v>
      </c>
    </row>
    <row r="107" spans="1:6" x14ac:dyDescent="0.2">
      <c r="A107" s="4">
        <v>45967.499497962999</v>
      </c>
      <c r="B107">
        <v>624</v>
      </c>
      <c r="C107">
        <v>89.13</v>
      </c>
      <c r="D107">
        <v>11.397</v>
      </c>
      <c r="E107">
        <v>11.196</v>
      </c>
      <c r="F107">
        <v>20.88</v>
      </c>
    </row>
    <row r="108" spans="1:6" x14ac:dyDescent="0.2">
      <c r="A108" s="4">
        <v>45967.499526666703</v>
      </c>
      <c r="B108">
        <v>104</v>
      </c>
      <c r="C108">
        <v>91.61</v>
      </c>
      <c r="D108">
        <v>11.25</v>
      </c>
      <c r="E108">
        <v>11.041</v>
      </c>
      <c r="F108">
        <v>20.88</v>
      </c>
    </row>
    <row r="109" spans="1:6" x14ac:dyDescent="0.2">
      <c r="A109" s="4">
        <v>45967.499556539398</v>
      </c>
      <c r="B109">
        <v>685</v>
      </c>
      <c r="C109">
        <v>94.19</v>
      </c>
      <c r="D109">
        <v>11.074999999999999</v>
      </c>
      <c r="E109">
        <v>10.881</v>
      </c>
      <c r="F109">
        <v>20.88</v>
      </c>
    </row>
    <row r="110" spans="1:6" x14ac:dyDescent="0.2">
      <c r="A110" s="4">
        <v>45967.4995755208</v>
      </c>
      <c r="B110">
        <v>325</v>
      </c>
      <c r="C110">
        <v>95.83</v>
      </c>
      <c r="D110">
        <v>10.973000000000001</v>
      </c>
      <c r="E110">
        <v>10.781000000000001</v>
      </c>
      <c r="F110">
        <v>20.88</v>
      </c>
    </row>
    <row r="111" spans="1:6" x14ac:dyDescent="0.2">
      <c r="A111" s="4">
        <v>45967.499604456003</v>
      </c>
      <c r="B111">
        <v>825</v>
      </c>
      <c r="C111">
        <v>98.33</v>
      </c>
      <c r="D111">
        <v>10.826000000000001</v>
      </c>
      <c r="E111">
        <v>10.63</v>
      </c>
      <c r="F111">
        <v>20.89</v>
      </c>
    </row>
    <row r="112" spans="1:6" x14ac:dyDescent="0.2">
      <c r="A112" s="4">
        <v>45967.499623668999</v>
      </c>
      <c r="B112">
        <v>485</v>
      </c>
      <c r="C112">
        <v>99.99</v>
      </c>
      <c r="D112">
        <v>10.726000000000001</v>
      </c>
      <c r="E112">
        <v>10.53</v>
      </c>
      <c r="F112">
        <v>20.89</v>
      </c>
    </row>
    <row r="113" spans="1:6" x14ac:dyDescent="0.2">
      <c r="A113" s="4">
        <v>45967.499653298597</v>
      </c>
      <c r="B113">
        <v>45</v>
      </c>
      <c r="C113">
        <v>102.55</v>
      </c>
      <c r="D113">
        <v>10.59</v>
      </c>
      <c r="E113">
        <v>10.379</v>
      </c>
      <c r="F113">
        <v>20.89</v>
      </c>
    </row>
    <row r="114" spans="1:6" x14ac:dyDescent="0.2">
      <c r="A114" s="4">
        <v>45967.499681770802</v>
      </c>
      <c r="B114">
        <v>505</v>
      </c>
      <c r="C114">
        <v>105.01</v>
      </c>
      <c r="D114">
        <v>10.425000000000001</v>
      </c>
      <c r="E114">
        <v>10.234999999999999</v>
      </c>
      <c r="F114">
        <v>20.89</v>
      </c>
    </row>
    <row r="115" spans="1:6" x14ac:dyDescent="0.2">
      <c r="A115" s="4">
        <v>45967.499710358803</v>
      </c>
      <c r="B115">
        <v>975</v>
      </c>
      <c r="C115">
        <v>107.48</v>
      </c>
      <c r="D115">
        <v>10.260999999999999</v>
      </c>
      <c r="E115">
        <v>10.093</v>
      </c>
      <c r="F115">
        <v>20.89</v>
      </c>
    </row>
    <row r="116" spans="1:6" x14ac:dyDescent="0.2">
      <c r="A116" s="4">
        <v>45967.499739421299</v>
      </c>
      <c r="B116">
        <v>486</v>
      </c>
      <c r="C116">
        <v>109.99</v>
      </c>
      <c r="D116">
        <v>10.153</v>
      </c>
      <c r="E116">
        <v>9.9499999999999993</v>
      </c>
      <c r="F116">
        <v>20.89</v>
      </c>
    </row>
    <row r="117" spans="1:6" x14ac:dyDescent="0.2">
      <c r="A117" s="4">
        <v>45967.499757708298</v>
      </c>
      <c r="B117">
        <v>66</v>
      </c>
      <c r="C117">
        <v>111.57</v>
      </c>
      <c r="D117">
        <v>10.050000000000001</v>
      </c>
      <c r="E117">
        <v>9.8610000000000007</v>
      </c>
      <c r="F117">
        <v>20.89</v>
      </c>
    </row>
    <row r="118" spans="1:6" x14ac:dyDescent="0.2">
      <c r="A118" s="4">
        <v>45967.499776805598</v>
      </c>
      <c r="B118">
        <v>716</v>
      </c>
      <c r="C118">
        <v>113.22</v>
      </c>
      <c r="D118">
        <v>9.9469999999999992</v>
      </c>
      <c r="E118">
        <v>9.7690000000000001</v>
      </c>
      <c r="F118">
        <v>20.89</v>
      </c>
    </row>
    <row r="119" spans="1:6" x14ac:dyDescent="0.2">
      <c r="A119" s="4">
        <v>45967.499806203698</v>
      </c>
      <c r="B119">
        <v>256</v>
      </c>
      <c r="C119">
        <v>115.76</v>
      </c>
      <c r="D119">
        <v>9.7880000000000003</v>
      </c>
      <c r="E119">
        <v>9.6280000000000001</v>
      </c>
      <c r="F119">
        <v>20.89</v>
      </c>
    </row>
    <row r="120" spans="1:6" x14ac:dyDescent="0.2">
      <c r="A120" s="4">
        <v>45967.499836736097</v>
      </c>
      <c r="B120">
        <v>894</v>
      </c>
      <c r="C120">
        <v>118.4</v>
      </c>
      <c r="D120">
        <v>9.6620000000000008</v>
      </c>
      <c r="E120">
        <v>9.484</v>
      </c>
      <c r="F120">
        <v>20.89</v>
      </c>
    </row>
    <row r="121" spans="1:6" x14ac:dyDescent="0.2">
      <c r="A121" s="4">
        <v>45967.499866458304</v>
      </c>
      <c r="B121">
        <v>462</v>
      </c>
      <c r="C121">
        <v>120.97</v>
      </c>
      <c r="D121">
        <v>9.5329999999999995</v>
      </c>
      <c r="E121">
        <v>9.3460000000000001</v>
      </c>
      <c r="F121">
        <v>20.89</v>
      </c>
    </row>
    <row r="122" spans="1:6" x14ac:dyDescent="0.2">
      <c r="A122" s="4">
        <v>45967.499885324098</v>
      </c>
      <c r="B122">
        <v>92</v>
      </c>
      <c r="C122">
        <v>122.6</v>
      </c>
      <c r="D122">
        <v>9.42</v>
      </c>
      <c r="E122">
        <v>9.2590000000000003</v>
      </c>
      <c r="F122">
        <v>20.89</v>
      </c>
    </row>
    <row r="123" spans="1:6" x14ac:dyDescent="0.2">
      <c r="A123" s="4">
        <v>45967.499914953703</v>
      </c>
      <c r="B123">
        <v>652</v>
      </c>
      <c r="C123">
        <v>125.16</v>
      </c>
      <c r="D123">
        <v>9.3059999999999992</v>
      </c>
      <c r="E123">
        <v>9.125</v>
      </c>
      <c r="F123">
        <v>20.89</v>
      </c>
    </row>
    <row r="124" spans="1:6" x14ac:dyDescent="0.2">
      <c r="A124" s="4">
        <v>45967.499933819403</v>
      </c>
      <c r="B124">
        <v>282</v>
      </c>
      <c r="C124">
        <v>126.79</v>
      </c>
      <c r="D124">
        <v>9.1989999999999998</v>
      </c>
      <c r="E124">
        <v>9.0399999999999991</v>
      </c>
      <c r="F124">
        <v>20.89</v>
      </c>
    </row>
    <row r="125" spans="1:6" x14ac:dyDescent="0.2">
      <c r="A125" s="4">
        <v>45967.499962986098</v>
      </c>
      <c r="B125">
        <v>802</v>
      </c>
      <c r="C125">
        <v>129.31</v>
      </c>
      <c r="D125">
        <v>9.0790000000000006</v>
      </c>
      <c r="E125">
        <v>8.91</v>
      </c>
      <c r="F125">
        <v>20.89</v>
      </c>
    </row>
    <row r="126" spans="1:6" x14ac:dyDescent="0.2">
      <c r="A126" s="4">
        <v>45967.499991701399</v>
      </c>
      <c r="B126">
        <v>283</v>
      </c>
      <c r="C126">
        <v>131.79</v>
      </c>
      <c r="D126">
        <v>8.9570000000000007</v>
      </c>
      <c r="E126">
        <v>8.7840000000000007</v>
      </c>
      <c r="F126">
        <v>20.89</v>
      </c>
    </row>
    <row r="127" spans="1:6" x14ac:dyDescent="0.2">
      <c r="A127" s="4">
        <v>45967.500021562497</v>
      </c>
      <c r="B127">
        <v>863</v>
      </c>
      <c r="C127">
        <v>134.37</v>
      </c>
      <c r="D127">
        <v>8.81</v>
      </c>
      <c r="E127">
        <v>8.6539999999999999</v>
      </c>
      <c r="F127">
        <v>20.89</v>
      </c>
    </row>
    <row r="128" spans="1:6" x14ac:dyDescent="0.2">
      <c r="A128" s="4">
        <v>45967.500050277798</v>
      </c>
      <c r="B128">
        <v>344</v>
      </c>
      <c r="C128">
        <v>136.85</v>
      </c>
      <c r="D128">
        <v>8.6869999999999994</v>
      </c>
      <c r="E128">
        <v>8.5310000000000006</v>
      </c>
      <c r="F128">
        <v>20.9</v>
      </c>
    </row>
    <row r="129" spans="1:6" x14ac:dyDescent="0.2">
      <c r="A129" s="4">
        <v>45967.500079907397</v>
      </c>
      <c r="B129">
        <v>904</v>
      </c>
      <c r="C129">
        <v>139.41</v>
      </c>
      <c r="D129">
        <v>8.5489999999999995</v>
      </c>
      <c r="E129">
        <v>8.4060000000000006</v>
      </c>
      <c r="F129">
        <v>20.9</v>
      </c>
    </row>
    <row r="130" spans="1:6" x14ac:dyDescent="0.2">
      <c r="A130" s="4">
        <v>45967.500109537003</v>
      </c>
      <c r="B130">
        <v>464</v>
      </c>
      <c r="C130">
        <v>141.97</v>
      </c>
      <c r="D130">
        <v>8.4280000000000008</v>
      </c>
      <c r="E130">
        <v>8.282</v>
      </c>
      <c r="F130">
        <v>20.9</v>
      </c>
    </row>
    <row r="131" spans="1:6" x14ac:dyDescent="0.2">
      <c r="A131" s="4">
        <v>45967.500138252297</v>
      </c>
      <c r="B131">
        <v>945</v>
      </c>
      <c r="C131">
        <v>144.44999999999999</v>
      </c>
      <c r="D131">
        <v>8.3170000000000002</v>
      </c>
      <c r="E131">
        <v>8.1639999999999997</v>
      </c>
      <c r="F131">
        <v>20.9</v>
      </c>
    </row>
    <row r="132" spans="1:6" x14ac:dyDescent="0.2">
      <c r="A132" s="4">
        <v>45967.500167997699</v>
      </c>
      <c r="B132">
        <v>515</v>
      </c>
      <c r="C132">
        <v>147.02000000000001</v>
      </c>
      <c r="D132">
        <v>8.1969999999999992</v>
      </c>
      <c r="E132">
        <v>8.0429999999999993</v>
      </c>
      <c r="F132">
        <v>20.89</v>
      </c>
    </row>
    <row r="133" spans="1:6" x14ac:dyDescent="0.2">
      <c r="A133" s="4">
        <v>45967.500197523201</v>
      </c>
      <c r="B133">
        <v>66</v>
      </c>
      <c r="C133">
        <v>149.57</v>
      </c>
      <c r="D133">
        <v>8.0670000000000002</v>
      </c>
      <c r="E133">
        <v>7.9249999999999998</v>
      </c>
      <c r="F133">
        <v>20.89</v>
      </c>
    </row>
    <row r="134" spans="1:6" x14ac:dyDescent="0.2">
      <c r="A134" s="4">
        <v>45967.500227268501</v>
      </c>
      <c r="B134">
        <v>636</v>
      </c>
      <c r="C134">
        <v>152.13999999999999</v>
      </c>
      <c r="D134">
        <v>7.95</v>
      </c>
      <c r="E134">
        <v>7.8070000000000004</v>
      </c>
      <c r="F134">
        <v>20.89</v>
      </c>
    </row>
    <row r="135" spans="1:6" x14ac:dyDescent="0.2">
      <c r="A135" s="4">
        <v>45967.500256666703</v>
      </c>
      <c r="B135">
        <v>176</v>
      </c>
      <c r="C135">
        <v>154.68</v>
      </c>
      <c r="D135">
        <v>7.8280000000000003</v>
      </c>
      <c r="E135">
        <v>7.6920000000000002</v>
      </c>
      <c r="F135">
        <v>20.89</v>
      </c>
    </row>
    <row r="136" spans="1:6" x14ac:dyDescent="0.2">
      <c r="A136" s="4">
        <v>45967.500285844901</v>
      </c>
      <c r="B136">
        <v>697</v>
      </c>
      <c r="C136">
        <v>157.19999999999999</v>
      </c>
      <c r="D136">
        <v>7.7140000000000004</v>
      </c>
      <c r="E136">
        <v>7.58</v>
      </c>
      <c r="F136">
        <v>20.89</v>
      </c>
    </row>
    <row r="137" spans="1:6" x14ac:dyDescent="0.2">
      <c r="A137" s="4">
        <v>45967.500315705998</v>
      </c>
      <c r="B137">
        <v>277</v>
      </c>
      <c r="C137">
        <v>159.78</v>
      </c>
      <c r="D137">
        <v>7.5839999999999996</v>
      </c>
      <c r="E137">
        <v>7.4660000000000002</v>
      </c>
      <c r="F137">
        <v>20.89</v>
      </c>
    </row>
    <row r="138" spans="1:6" x14ac:dyDescent="0.2">
      <c r="A138" s="4">
        <v>45967.500345335597</v>
      </c>
      <c r="B138">
        <v>837</v>
      </c>
      <c r="C138">
        <v>162.34</v>
      </c>
      <c r="D138">
        <v>7.4770000000000003</v>
      </c>
      <c r="E138">
        <v>7.3550000000000004</v>
      </c>
      <c r="F138">
        <v>20.89</v>
      </c>
    </row>
    <row r="139" spans="1:6" x14ac:dyDescent="0.2">
      <c r="A139" s="4">
        <v>45967.500375439799</v>
      </c>
      <c r="B139">
        <v>438</v>
      </c>
      <c r="C139">
        <v>164.94</v>
      </c>
      <c r="D139">
        <v>7.3529999999999998</v>
      </c>
      <c r="E139">
        <v>7.2439999999999998</v>
      </c>
      <c r="F139">
        <v>20.89</v>
      </c>
    </row>
    <row r="140" spans="1:6" x14ac:dyDescent="0.2">
      <c r="A140" s="4">
        <v>45967.500417338</v>
      </c>
      <c r="B140">
        <v>58</v>
      </c>
      <c r="C140">
        <v>168.56</v>
      </c>
      <c r="D140">
        <v>7.1920000000000002</v>
      </c>
      <c r="E140">
        <v>7.0910000000000002</v>
      </c>
      <c r="F140">
        <v>20.89</v>
      </c>
    </row>
    <row r="141" spans="1:6" x14ac:dyDescent="0.2">
      <c r="A141" s="4">
        <v>45967.500447430597</v>
      </c>
      <c r="B141">
        <v>658</v>
      </c>
      <c r="C141">
        <v>171.16</v>
      </c>
      <c r="D141">
        <v>7.0620000000000003</v>
      </c>
      <c r="E141">
        <v>6.9829999999999997</v>
      </c>
      <c r="F141">
        <v>20.89</v>
      </c>
    </row>
    <row r="142" spans="1:6" x14ac:dyDescent="0.2">
      <c r="A142" s="4">
        <v>45967.500477303198</v>
      </c>
      <c r="B142">
        <v>239</v>
      </c>
      <c r="C142">
        <v>173.75</v>
      </c>
      <c r="D142">
        <v>6.9560000000000004</v>
      </c>
      <c r="E142">
        <v>6.8769999999999998</v>
      </c>
      <c r="F142">
        <v>20.89</v>
      </c>
    </row>
    <row r="143" spans="1:6" x14ac:dyDescent="0.2">
      <c r="A143" s="4">
        <v>45967.5005078588</v>
      </c>
      <c r="B143">
        <v>879</v>
      </c>
      <c r="C143">
        <v>176.39</v>
      </c>
      <c r="D143">
        <v>6.84</v>
      </c>
      <c r="E143">
        <v>6.77</v>
      </c>
      <c r="F143">
        <v>20.89</v>
      </c>
    </row>
    <row r="144" spans="1:6" x14ac:dyDescent="0.2">
      <c r="A144" s="4">
        <v>45967.500548252297</v>
      </c>
      <c r="B144">
        <v>369</v>
      </c>
      <c r="C144">
        <v>179.88</v>
      </c>
      <c r="D144">
        <v>6.72</v>
      </c>
      <c r="E144">
        <v>6.6319999999999997</v>
      </c>
      <c r="F144">
        <v>20.89</v>
      </c>
    </row>
    <row r="145" spans="1:6" x14ac:dyDescent="0.2">
      <c r="A145" s="4">
        <v>45967.500588888899</v>
      </c>
      <c r="B145">
        <v>880</v>
      </c>
      <c r="C145">
        <v>183.39</v>
      </c>
      <c r="D145">
        <v>6.5839999999999996</v>
      </c>
      <c r="E145">
        <v>6.4939999999999998</v>
      </c>
      <c r="F145">
        <v>20.89</v>
      </c>
    </row>
    <row r="146" spans="1:6" x14ac:dyDescent="0.2">
      <c r="A146" s="4">
        <v>45967.500630092603</v>
      </c>
      <c r="B146">
        <v>440</v>
      </c>
      <c r="C146">
        <v>186.95</v>
      </c>
      <c r="D146">
        <v>6.4379999999999997</v>
      </c>
      <c r="E146">
        <v>6.3579999999999997</v>
      </c>
      <c r="F146">
        <v>20.89</v>
      </c>
    </row>
    <row r="147" spans="1:6" x14ac:dyDescent="0.2">
      <c r="A147" s="4">
        <v>45967.500659270801</v>
      </c>
      <c r="B147">
        <v>961</v>
      </c>
      <c r="C147">
        <v>189.47</v>
      </c>
      <c r="D147">
        <v>6.3259999999999996</v>
      </c>
      <c r="E147">
        <v>6.2629999999999999</v>
      </c>
      <c r="F147">
        <v>20.89</v>
      </c>
    </row>
    <row r="148" spans="1:6" x14ac:dyDescent="0.2">
      <c r="A148" s="4">
        <v>45967.500699780103</v>
      </c>
      <c r="B148">
        <v>461</v>
      </c>
      <c r="C148">
        <v>192.97</v>
      </c>
      <c r="D148">
        <v>6.2149999999999999</v>
      </c>
      <c r="E148">
        <v>6.133</v>
      </c>
      <c r="F148">
        <v>20.89</v>
      </c>
    </row>
    <row r="149" spans="1:6" x14ac:dyDescent="0.2">
      <c r="A149" s="4">
        <v>45967.500742951401</v>
      </c>
      <c r="B149">
        <v>191</v>
      </c>
      <c r="C149">
        <v>196.7</v>
      </c>
      <c r="D149">
        <v>6.0650000000000004</v>
      </c>
      <c r="E149">
        <v>5.9960000000000004</v>
      </c>
      <c r="F149">
        <v>20.89</v>
      </c>
    </row>
    <row r="150" spans="1:6" x14ac:dyDescent="0.2">
      <c r="A150" s="4">
        <v>45967.500772696803</v>
      </c>
      <c r="B150">
        <v>761</v>
      </c>
      <c r="C150">
        <v>199.27</v>
      </c>
      <c r="D150">
        <v>5.9509999999999996</v>
      </c>
      <c r="E150">
        <v>5.9039999999999999</v>
      </c>
      <c r="F150">
        <v>20.89</v>
      </c>
    </row>
    <row r="151" spans="1:6" x14ac:dyDescent="0.2">
      <c r="A151" s="4">
        <v>45967.500813206003</v>
      </c>
      <c r="B151">
        <v>261</v>
      </c>
      <c r="C151">
        <v>202.77</v>
      </c>
      <c r="D151">
        <v>5.8390000000000004</v>
      </c>
      <c r="E151">
        <v>5.78</v>
      </c>
      <c r="F151">
        <v>20.89</v>
      </c>
    </row>
    <row r="152" spans="1:6" x14ac:dyDescent="0.2">
      <c r="A152" s="4">
        <v>45967.500853703699</v>
      </c>
      <c r="B152">
        <v>760</v>
      </c>
      <c r="C152">
        <v>206.27</v>
      </c>
      <c r="D152">
        <v>5.7149999999999999</v>
      </c>
      <c r="E152">
        <v>5.6589999999999998</v>
      </c>
      <c r="F152">
        <v>20.88</v>
      </c>
    </row>
    <row r="153" spans="1:6" x14ac:dyDescent="0.2">
      <c r="A153" s="4">
        <v>45967.500893981502</v>
      </c>
      <c r="B153">
        <v>240</v>
      </c>
      <c r="C153">
        <v>209.75</v>
      </c>
      <c r="D153">
        <v>5.5709999999999997</v>
      </c>
      <c r="E153">
        <v>5.54</v>
      </c>
      <c r="F153">
        <v>20.88</v>
      </c>
    </row>
    <row r="154" spans="1:6" x14ac:dyDescent="0.2">
      <c r="A154" s="4">
        <v>45967.500935428201</v>
      </c>
      <c r="B154">
        <v>821</v>
      </c>
      <c r="C154">
        <v>213.33</v>
      </c>
      <c r="D154">
        <v>5.4690000000000003</v>
      </c>
      <c r="E154">
        <v>5.42</v>
      </c>
      <c r="F154">
        <v>20.88</v>
      </c>
    </row>
    <row r="155" spans="1:6" x14ac:dyDescent="0.2">
      <c r="A155" s="4">
        <v>45967.500976631898</v>
      </c>
      <c r="B155">
        <v>381</v>
      </c>
      <c r="C155">
        <v>216.89</v>
      </c>
      <c r="D155">
        <v>5.3390000000000004</v>
      </c>
      <c r="E155">
        <v>5.3029999999999999</v>
      </c>
      <c r="F155">
        <v>20.89</v>
      </c>
    </row>
    <row r="156" spans="1:6" x14ac:dyDescent="0.2">
      <c r="A156" s="4">
        <v>45967.501017384297</v>
      </c>
      <c r="B156">
        <v>902</v>
      </c>
      <c r="C156">
        <v>220.41</v>
      </c>
      <c r="D156">
        <v>5.2140000000000004</v>
      </c>
      <c r="E156">
        <v>5.19</v>
      </c>
      <c r="F156">
        <v>20.89</v>
      </c>
    </row>
    <row r="157" spans="1:6" x14ac:dyDescent="0.2">
      <c r="A157" s="4">
        <v>45967.501059062502</v>
      </c>
      <c r="B157">
        <v>503</v>
      </c>
      <c r="C157">
        <v>224.01</v>
      </c>
      <c r="D157">
        <v>5.0940000000000003</v>
      </c>
      <c r="E157">
        <v>5.0759999999999996</v>
      </c>
      <c r="F157">
        <v>20.89</v>
      </c>
    </row>
    <row r="158" spans="1:6" x14ac:dyDescent="0.2">
      <c r="A158" s="4">
        <v>45967.5011000347</v>
      </c>
      <c r="B158">
        <v>43</v>
      </c>
      <c r="C158">
        <v>227.55</v>
      </c>
      <c r="D158">
        <v>4.9850000000000003</v>
      </c>
      <c r="E158">
        <v>4.9660000000000002</v>
      </c>
      <c r="F158">
        <v>20.88</v>
      </c>
    </row>
    <row r="159" spans="1:6" x14ac:dyDescent="0.2">
      <c r="A159" s="4">
        <v>45967.501139976899</v>
      </c>
      <c r="B159">
        <v>494</v>
      </c>
      <c r="C159">
        <v>231</v>
      </c>
      <c r="D159">
        <v>4.8819999999999997</v>
      </c>
      <c r="E159">
        <v>4.8600000000000003</v>
      </c>
      <c r="F159">
        <v>20.88</v>
      </c>
    </row>
    <row r="160" spans="1:6" x14ac:dyDescent="0.2">
      <c r="A160" s="4">
        <v>45967.501181076397</v>
      </c>
      <c r="B160">
        <v>45</v>
      </c>
      <c r="C160">
        <v>234.55</v>
      </c>
      <c r="D160">
        <v>4.7709999999999999</v>
      </c>
      <c r="E160">
        <v>4.7539999999999996</v>
      </c>
      <c r="F160">
        <v>20.88</v>
      </c>
    </row>
    <row r="161" spans="1:6" x14ac:dyDescent="0.2">
      <c r="A161" s="4">
        <v>45967.501221828701</v>
      </c>
      <c r="B161">
        <v>566</v>
      </c>
      <c r="C161">
        <v>238.07</v>
      </c>
      <c r="D161">
        <v>4.6500000000000004</v>
      </c>
      <c r="E161">
        <v>4.6500000000000004</v>
      </c>
      <c r="F161">
        <v>20.88</v>
      </c>
    </row>
    <row r="162" spans="1:6" x14ac:dyDescent="0.2">
      <c r="A162" s="4">
        <v>45967.501284293998</v>
      </c>
      <c r="B162">
        <v>963</v>
      </c>
      <c r="C162">
        <v>243.47</v>
      </c>
      <c r="D162">
        <v>4.5250000000000004</v>
      </c>
      <c r="E162">
        <v>-99999</v>
      </c>
      <c r="F162">
        <v>20.88</v>
      </c>
    </row>
    <row r="163" spans="1:6" x14ac:dyDescent="0.2">
      <c r="A163" s="4"/>
    </row>
    <row r="164" spans="1:6" x14ac:dyDescent="0.2">
      <c r="A164" s="4"/>
    </row>
    <row r="165" spans="1:6" x14ac:dyDescent="0.2">
      <c r="A165" s="4"/>
    </row>
    <row r="166" spans="1:6" x14ac:dyDescent="0.2">
      <c r="A166" s="4"/>
    </row>
    <row r="167" spans="1:6" x14ac:dyDescent="0.2">
      <c r="A167" s="4"/>
    </row>
    <row r="168" spans="1:6" x14ac:dyDescent="0.2">
      <c r="A168" s="4"/>
    </row>
    <row r="169" spans="1:6" x14ac:dyDescent="0.2">
      <c r="A169" s="4"/>
    </row>
    <row r="170" spans="1:6" x14ac:dyDescent="0.2">
      <c r="A170" s="4"/>
    </row>
    <row r="171" spans="1:6" x14ac:dyDescent="0.2">
      <c r="A171" s="4"/>
    </row>
    <row r="172" spans="1:6" x14ac:dyDescent="0.2">
      <c r="A172" s="4"/>
    </row>
    <row r="173" spans="1:6" x14ac:dyDescent="0.2">
      <c r="A173" s="4"/>
    </row>
    <row r="174" spans="1:6" x14ac:dyDescent="0.2">
      <c r="A174" s="4"/>
    </row>
    <row r="175" spans="1:6" x14ac:dyDescent="0.2">
      <c r="A175" s="4"/>
    </row>
    <row r="176" spans="1:6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701EF3-16BF-4177-A79A-1808259B97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B4B98A-902B-45A6-8F47-69126519DB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4D5986-8AC9-4D59-A1EE-DC232BCE45A5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
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1" documentId="13_ncr:1_{2DD567CE-26BB-47FA-B793-D569F59C7A56}" xr6:coauthVersionLast="47" xr6:coauthVersionMax="47" xr10:uidLastSave="{6F4BED04-C771-412F-99E2-6D048A035CA7}"/>
  <bookViews>
    <workbookView xWindow="4140" yWindow="1530" windowWidth="21600" windowHeight="13440" xr2:uid="{00000000-000D-0000-FFFF-FFFF00000000}"/>
  </bookViews>
  <sheets>
    <sheet name="KSAT_Measur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<sst xmlns="http://schemas.openxmlformats.org/spreadsheetml/2006/main" count="107" uniqueCount="107">
  <si>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</si>
  <si>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</si>
  <si>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</si>
  <si>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</si>
  <si>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</si>
  <si>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</si>
  <si>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</si>
  <si>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</si>
  <si>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</si>
  <si>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</si>
  <si>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</si>
  <si>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</si>
  <si>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KSAT_measurement_R2-BD-B3_003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</si>
  <si>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</si>
  <si>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</si>
  <si>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</si>
  <si>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</si>
  <si>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</si>
  <si>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</si>
  <si>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</si>
  <si>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</si>
  <si>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</si>
  <si>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</si>
  <si>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</si>
  <si>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</si>
  <si>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</si>
  <si>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</si>
  <si>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</si>
  <si>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</si>
  <si>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</si>
  <si>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</si>
  <si>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</si>
  <si>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</si>
  <si>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</si>
  <si>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</si>
  <si>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</si>
  <si>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</si>
  <si>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</si>
  <si>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</si>
  <si>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</si>
  <si>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</si>
  <si>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</si>
  <si>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</si>
  <si>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</si>
  <si>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</si>
  <si>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</si>
  <si>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</si>
  <si>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</si>
  <si>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</si>
  <si>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</si>
  <si>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</si>
  <si>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</si>
  <si>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</si>
  <si>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</si>
  <si>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</si>
  <si>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</si>
  <si>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</si>
  <si>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</si>
  <si>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</si>
  <si>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</si>
  <si>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</si>
  <si>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</si>
  <si>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</si>
  <si>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</si>
  <si>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</si>
  <si>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11/19/2025 3:42:22 PM</t>
  </si>
  <si>
    <t>Test duration</t>
  </si>
  <si>
    <t>00:09:44</t>
  </si>
  <si>
    <t>RESULT</t>
  </si>
  <si>
    <t>Use auto offset adjustment</t>
  </si>
  <si>
    <t>Max offset adjustment [cm]</t>
  </si>
  <si>
    <t>1</t>
  </si>
  <si>
    <t>Fitting Parameter a [cm]</t>
  </si>
  <si>
    <t>17.73</t>
  </si>
  <si>
    <t>coefficient a of the fitted exponential pressure head decrease function y = a * exp(-b*t)+c, where y is the pressure head in cm and t is time in s</t>
  </si>
  <si>
    <t>Fitting Parameter b [s-1]</t>
  </si>
  <si>
    <t>-2.51E-03</t>
  </si>
  <si>
    <t>coefficient b of the fitted exponential pressure head decrease function y = a * exp(-b*t)+c, where y is the pressure head in cm and t is time in s</t>
  </si>
  <si>
    <t>Fitting Parameter c [cm]</t>
  </si>
  <si>
    <t>-0.4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</si>
  <si>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</si>
  <si>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</si>
  <si>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</si>
  <si>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</si>
  <si>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</si>
  <si>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310.169</t>
  </si>
  <si>
    <t>Saturated hydraulic conductivity [cm/d] of the entire system</t>
  </si>
  <si>
    <t>Ks Total [m/s]</t>
  </si>
  <si>
    <t>3.61E-05</t>
  </si>
  <si>
    <t>Saturated hydraulic conductivity [m/s] of the entire system</t>
  </si>
  <si>
    <t>Ks Soil [cm/d]</t>
  </si>
  <si>
    <t>256.146</t>
  </si>
  <si>
    <t>Saturated hydraulic conductivity [cm/d] of the soil sample itself</t>
  </si>
  <si>
    <t>Ks Soil [m/s]</t>
  </si>
  <si>
    <t>2.98E-05</t>
  </si>
  <si>
    <t>Saturated hydraulic conductivity [m/s] of the soil sample itself</t>
  </si>
  <si>
    <t>247.116</t>
  </si>
  <si>
    <t>Saturated hydraulic conductivity [cm/d] of the soil sample  normalized to 10 °C mean field temperature</t>
  </si>
  <si>
    <t>2.87E-05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</si>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</sst>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8">
    <xf numFmtId="0" fontId="0" fillId="0" borderId="0" xfId="0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11" fontId="0" fillId="0" borderId="0" xfId="0" applyNumberFormat="1" applyFill="1" applyAlignment="1" applyProtection="1"/>
    <xf numFmtId="21" fontId="0" fillId="0" borderId="0" xfId="0" applyNumberFormat="1" applyFill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G8" sqref="G8"/>
    </sheetView>
  </sheetViews>
  <sheetFormatPr defaultColWidth="11.42578125" defaultRowHeight="15"/>
  <cols>
    <col min="1" max="1" width="39.7109375" style="1" customWidth="1"/>
    <col min="2" max="2" width="27" style="1" bestFit="1" customWidth="1"/>
    <col min="3" max="3" width="31.85546875" style="1" bestFit="1" customWidth="1"/>
    <col min="4" max="4" width="18.28515625" style="1" bestFit="1" customWidth="1"/>
    <col min="5" max="5" width="11.140625" style="1" bestFit="1" customWidth="1"/>
    <col min="6" max="6" width="16.42578125" style="1" bestFit="1" customWidth="1"/>
  </cols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3" t="s">
        <v>8</v>
      </c>
    </row>
    <row r="6" spans="1:2">
      <c r="A6" s="1" t="s">
        <v>9</v>
      </c>
      <c r="B6" s="1" t="s">
        <v>10</v>
      </c>
    </row>
    <row r="8" spans="1:2">
      <c r="A8" s="1" t="s">
        <v>11</v>
      </c>
      <c r="B8" s="1" t="s">
        <v>12</v>
      </c>
    </row>
    <row r="9" spans="1:2">
      <c r="A9" s="1" t="s">
        <v>13</v>
      </c>
    </row>
    <row r="11" spans="1:2">
      <c r="A11" s="1" t="s">
        <v>14</v>
      </c>
    </row>
    <row r="12" spans="1:2">
      <c r="A12" s="1" t="s">
        <v>15</v>
      </c>
      <c r="B12" s="1" t="s">
        <v>16</v>
      </c>
    </row>
    <row r="13" spans="1:2">
      <c r="A13" s="1" t="s">
        <v>17</v>
      </c>
      <c r="B13" s="1" t="s">
        <v>18</v>
      </c>
    </row>
    <row r="14" spans="1:2">
      <c r="A14" s="1" t="s">
        <v>19</v>
      </c>
      <c r="B14" s="1" t="s">
        <v>20</v>
      </c>
    </row>
    <row r="15" spans="1:2">
      <c r="A15" s="1" t="s">
        <v>21</v>
      </c>
      <c r="B15" s="1" t="b">
        <v>0</v>
      </c>
    </row>
    <row r="17" spans="1:3">
      <c r="A17" s="1" t="s">
        <v>22</v>
      </c>
    </row>
    <row r="18" spans="1:3">
      <c r="A18" s="1" t="s">
        <v>23</v>
      </c>
    </row>
    <row r="19" spans="1:3">
      <c r="A19" s="1" t="s">
        <v>24</v>
      </c>
      <c r="B19" s="1">
        <v>0.5</v>
      </c>
      <c r="C19" s="1" t="s">
        <v>25</v>
      </c>
    </row>
    <row r="20" spans="1:3">
      <c r="A20" s="1" t="s">
        <v>26</v>
      </c>
      <c r="B20" s="1" t="s">
        <v>27</v>
      </c>
      <c r="C20" s="1" t="s">
        <v>28</v>
      </c>
    </row>
    <row r="21" spans="1:3">
      <c r="A21" s="1" t="s">
        <v>29</v>
      </c>
      <c r="B21" s="1" t="s">
        <v>30</v>
      </c>
      <c r="C21" s="1" t="s">
        <v>31</v>
      </c>
    </row>
    <row r="22" spans="1:3">
      <c r="A22" s="1" t="s">
        <v>32</v>
      </c>
      <c r="B22" s="1">
        <v>1</v>
      </c>
      <c r="C22" s="1" t="s">
        <v>33</v>
      </c>
    </row>
    <row r="23" spans="1:3">
      <c r="A23" s="1" t="s">
        <v>34</v>
      </c>
    </row>
    <row r="24" spans="1:3">
      <c r="A24" s="1" t="s">
        <v>35</v>
      </c>
      <c r="B24" s="1" t="s">
        <v>36</v>
      </c>
      <c r="C24" s="1" t="s">
        <v>37</v>
      </c>
    </row>
    <row r="25" spans="1:3">
      <c r="A25" s="1" t="s">
        <v>38</v>
      </c>
      <c r="B25" s="1" t="s">
        <v>39</v>
      </c>
      <c r="C25" s="1" t="s">
        <v>40</v>
      </c>
    </row>
    <row r="26" spans="1:3">
      <c r="A26" s="1" t="s">
        <v>41</v>
      </c>
      <c r="B26" s="1">
        <v>19.600000381469702</v>
      </c>
      <c r="C26" s="1" t="s">
        <v>42</v>
      </c>
    </row>
    <row r="27" spans="1:3">
      <c r="A27" s="1" t="s">
        <v>43</v>
      </c>
      <c r="B27" s="1">
        <v>22.5</v>
      </c>
      <c r="C27" s="1" t="s">
        <v>44</v>
      </c>
    </row>
    <row r="28" spans="1:3">
      <c r="A28" s="1" t="s">
        <v>45</v>
      </c>
      <c r="B28" s="1">
        <v>5.0999999046325701</v>
      </c>
      <c r="C28" s="1" t="s">
        <v>46</v>
      </c>
    </row>
    <row r="29" spans="1:3">
      <c r="A29" s="1" t="s">
        <v>47</v>
      </c>
      <c r="B29" s="1" t="s">
        <v>48</v>
      </c>
      <c r="C29" s="1" t="s">
        <v>49</v>
      </c>
    </row>
    <row r="30" spans="1:3">
      <c r="A30" s="1" t="s">
        <v>50</v>
      </c>
      <c r="B30" s="1" t="s">
        <v>51</v>
      </c>
      <c r="C30" s="1" t="s">
        <v>52</v>
      </c>
    </row>
    <row r="31" spans="1:3">
      <c r="A31" s="1" t="s">
        <v>53</v>
      </c>
    </row>
    <row r="32" spans="1:3">
      <c r="A32" s="1" t="s">
        <v>54</v>
      </c>
      <c r="B32" s="1">
        <v>20</v>
      </c>
      <c r="C32" s="1" t="s">
        <v>55</v>
      </c>
    </row>
    <row r="33" spans="1:3">
      <c r="A33" s="1" t="s">
        <v>56</v>
      </c>
      <c r="B33" s="1">
        <v>14000</v>
      </c>
      <c r="C33" s="1" t="s">
        <v>57</v>
      </c>
    </row>
    <row r="34" spans="1:3">
      <c r="A34" s="1" t="s">
        <v>58</v>
      </c>
      <c r="B34" s="1" t="b">
        <v>1</v>
      </c>
      <c r="C34" s="1" t="s">
        <v>59</v>
      </c>
    </row>
    <row r="35" spans="1:3">
      <c r="A35" s="1" t="s">
        <v>60</v>
      </c>
      <c r="B35" s="1">
        <v>1</v>
      </c>
      <c r="C35" s="1" t="s">
        <v>61</v>
      </c>
    </row>
    <row r="36" spans="1:3">
      <c r="A36" s="1" t="s">
        <v>62</v>
      </c>
      <c r="B36" s="1">
        <v>1</v>
      </c>
      <c r="C36" s="1" t="s">
        <v>63</v>
      </c>
    </row>
    <row r="37" spans="1:3">
      <c r="A37" s="1" t="s">
        <v>64</v>
      </c>
      <c r="B37" s="5" t="s">
        <v>65</v>
      </c>
    </row>
    <row r="38" spans="1:3">
      <c r="A38" s="1" t="s">
        <v>66</v>
      </c>
      <c r="B38" s="7" t="s">
        <v>67</v>
      </c>
    </row>
    <row r="40" spans="1:3">
      <c r="A40" s="1" t="s">
        <v>68</v>
      </c>
    </row>
    <row r="41" spans="1:3">
      <c r="A41" s="1" t="s">
        <v>69</v>
      </c>
      <c r="B41" s="1" t="b">
        <v>1</v>
      </c>
    </row>
    <row r="42" spans="1:3">
      <c r="A42" s="1" t="s">
        <v>70</v>
      </c>
      <c r="B42" s="1" t="s">
        <v>71</v>
      </c>
    </row>
    <row r="43" spans="1:3">
      <c r="A43" s="1" t="s">
        <v>72</v>
      </c>
      <c r="B43" s="1" t="s">
        <v>73</v>
      </c>
      <c r="C43" s="1" t="s">
        <v>74</v>
      </c>
    </row>
    <row r="44" spans="1:3">
      <c r="A44" s="1" t="s">
        <v>75</v>
      </c>
      <c r="B44" s="6" t="s">
        <v>76</v>
      </c>
      <c r="C44" s="6" t="s">
        <v>77</v>
      </c>
    </row>
    <row r="45" spans="1:3">
      <c r="A45" s="1" t="s">
        <v>78</v>
      </c>
      <c r="B45" s="1" t="s">
        <v>79</v>
      </c>
      <c r="C45" s="1" t="s">
        <v>80</v>
      </c>
    </row>
    <row r="46" spans="1:3">
      <c r="A46" s="1" t="s">
        <v>81</v>
      </c>
      <c r="B46" s="1" t="s">
        <v>82</v>
      </c>
      <c r="C46" s="1" t="s">
        <v>83</v>
      </c>
    </row>
    <row r="47" spans="1:3">
      <c r="A47" s="1" t="s">
        <v>84</v>
      </c>
      <c r="B47" s="1" t="s">
        <v>85</v>
      </c>
      <c r="C47" s="1" t="s">
        <v>86</v>
      </c>
    </row>
    <row r="48" spans="1:3">
      <c r="A48" s="1" t="s">
        <v>87</v>
      </c>
      <c r="B48" s="6" t="s">
        <v>88</v>
      </c>
      <c r="C48" s="6" t="s">
        <v>89</v>
      </c>
    </row>
    <row r="49" spans="1:6">
      <c r="A49" s="1" t="s">
        <v>90</v>
      </c>
      <c r="B49" s="1" t="s">
        <v>91</v>
      </c>
      <c r="C49" s="1" t="s">
        <v>92</v>
      </c>
    </row>
    <row r="50" spans="1:6">
      <c r="A50" s="1" t="s">
        <v>93</v>
      </c>
      <c r="B50" s="6" t="s">
        <v>94</v>
      </c>
      <c r="C50" s="6" t="s">
        <v>95</v>
      </c>
    </row>
    <row r="51" spans="1:6">
      <c r="A51" s="1" t="str">
        <f>CONCATENATE("Ks Soil normalized at ",B32," °C [cm/d]")</f>
        <v>Ks Soil normalized at 20 °C [cm/d]</v>
      </c>
      <c r="B51" s="1" t="s">
        <v>96</v>
      </c>
      <c r="C51" s="1" t="s">
        <v>97</v>
      </c>
    </row>
    <row r="52" spans="1:6">
      <c r="A52" s="1" t="str">
        <f>CONCATENATE("Ks Soil normalized at ",B32," °C [m/s]")</f>
        <v>Ks Soil normalized at 20 °C [m/s]</v>
      </c>
      <c r="B52" s="6" t="s">
        <v>98</v>
      </c>
      <c r="C52" s="6" t="s">
        <v>99</v>
      </c>
    </row>
    <row r="54" spans="1:6">
      <c r="A54" s="1" t="s">
        <v>100</v>
      </c>
    </row>
    <row r="55" spans="1:6">
      <c r="A55" s="5" t="s">
        <v>101</v>
      </c>
      <c r="B55" s="1" t="s">
        <v>102</v>
      </c>
      <c r="C55" s="1" t="s">
        <v>103</v>
      </c>
      <c r="D55" s="1" t="s">
        <v>104</v>
      </c>
      <c r="E55" s="1" t="s">
        <v>105</v>
      </c>
      <c r="F55" s="1" t="s">
        <v>106</v>
      </c>
    </row>
    <row r="56" spans="1:6">
      <c r="A56" s="4">
        <v>45980.654423472202</v>
      </c>
      <c r="B56" s="1">
        <v>188</v>
      </c>
      <c r="C56" s="1">
        <v>-3.61</v>
      </c>
      <c r="D56" s="1">
        <v>0.82499999999999996</v>
      </c>
      <c r="E56" s="1">
        <v>-99999</v>
      </c>
      <c r="F56" s="1">
        <v>21.54</v>
      </c>
    </row>
    <row r="57" spans="1:6">
      <c r="A57" s="4">
        <v>45980.6544537847</v>
      </c>
      <c r="B57" s="1">
        <v>807</v>
      </c>
      <c r="C57" s="1">
        <v>-0.99</v>
      </c>
      <c r="D57" s="1">
        <v>18.161000000000001</v>
      </c>
      <c r="E57" s="1">
        <v>-99999</v>
      </c>
      <c r="F57" s="1">
        <v>21.54</v>
      </c>
    </row>
    <row r="58" spans="1:6">
      <c r="A58" s="4">
        <v>45980.654465243097</v>
      </c>
      <c r="B58" s="1">
        <v>797</v>
      </c>
      <c r="C58" s="1">
        <v>0</v>
      </c>
      <c r="D58" s="1">
        <v>18.128</v>
      </c>
      <c r="E58" s="1">
        <v>18.128</v>
      </c>
      <c r="F58" s="1">
        <v>21.54</v>
      </c>
    </row>
    <row r="59" spans="1:6">
      <c r="A59" s="4">
        <v>45980.6544897801</v>
      </c>
      <c r="B59" s="1">
        <v>917</v>
      </c>
      <c r="C59" s="1">
        <v>2.12</v>
      </c>
      <c r="D59" s="1">
        <v>18.023</v>
      </c>
      <c r="E59" s="1">
        <v>18.033999999999999</v>
      </c>
      <c r="F59" s="1">
        <v>21.54</v>
      </c>
    </row>
    <row r="60" spans="1:6">
      <c r="A60" s="4">
        <v>45980.654519768497</v>
      </c>
      <c r="B60" s="1">
        <v>508</v>
      </c>
      <c r="C60" s="1">
        <v>4.71</v>
      </c>
      <c r="D60" s="1">
        <v>17.922000000000001</v>
      </c>
      <c r="E60" s="1">
        <v>17.920000000000002</v>
      </c>
      <c r="F60" s="1">
        <v>21.54</v>
      </c>
    </row>
    <row r="61" spans="1:6">
      <c r="A61" s="4">
        <v>45980.654550208303</v>
      </c>
      <c r="B61" s="1">
        <v>138</v>
      </c>
      <c r="C61" s="1">
        <v>7.34</v>
      </c>
      <c r="D61" s="1">
        <v>17.800999999999998</v>
      </c>
      <c r="E61" s="1">
        <v>17.805</v>
      </c>
      <c r="F61" s="1">
        <v>21.54</v>
      </c>
    </row>
    <row r="62" spans="1:6">
      <c r="A62" s="4">
        <v>45980.654580000002</v>
      </c>
      <c r="B62" s="1">
        <v>712</v>
      </c>
      <c r="C62" s="1">
        <v>9.92</v>
      </c>
      <c r="D62" s="1">
        <v>17.684999999999999</v>
      </c>
      <c r="E62" s="1">
        <v>17.692</v>
      </c>
      <c r="F62" s="1">
        <v>21.54</v>
      </c>
    </row>
    <row r="63" spans="1:6">
      <c r="A63" s="4">
        <v>45980.654610046302</v>
      </c>
      <c r="B63" s="1">
        <v>308</v>
      </c>
      <c r="C63" s="1">
        <v>12.51</v>
      </c>
      <c r="D63" s="1">
        <v>17.562999999999999</v>
      </c>
      <c r="E63" s="1">
        <v>17.579999999999998</v>
      </c>
      <c r="F63" s="1">
        <v>21.54</v>
      </c>
    </row>
    <row r="64" spans="1:6">
      <c r="A64" s="4">
        <v>45980.654639340297</v>
      </c>
      <c r="B64" s="1">
        <v>839</v>
      </c>
      <c r="C64" s="1">
        <v>15.04</v>
      </c>
      <c r="D64" s="1">
        <v>17.449000000000002</v>
      </c>
      <c r="E64" s="1">
        <v>17.472000000000001</v>
      </c>
      <c r="F64" s="1">
        <v>21.54</v>
      </c>
    </row>
    <row r="65" spans="1:6">
      <c r="A65" s="4">
        <v>45980.654679722204</v>
      </c>
      <c r="B65" s="1">
        <v>328</v>
      </c>
      <c r="C65" s="1">
        <v>18.53</v>
      </c>
      <c r="D65" s="1">
        <v>17.306000000000001</v>
      </c>
      <c r="E65" s="1">
        <v>17.323</v>
      </c>
      <c r="F65" s="1">
        <v>21.54</v>
      </c>
    </row>
    <row r="66" spans="1:6">
      <c r="A66" s="4">
        <v>45980.654709826398</v>
      </c>
      <c r="B66" s="1">
        <v>929</v>
      </c>
      <c r="C66" s="1">
        <v>21.13</v>
      </c>
      <c r="D66" s="1">
        <v>17.195</v>
      </c>
      <c r="E66" s="1">
        <v>17.213000000000001</v>
      </c>
      <c r="F66" s="1">
        <v>21.54</v>
      </c>
    </row>
    <row r="67" spans="1:6">
      <c r="A67" s="4">
        <v>45980.654750347203</v>
      </c>
      <c r="B67" s="1">
        <v>430</v>
      </c>
      <c r="C67" s="1">
        <v>24.63</v>
      </c>
      <c r="D67" s="1">
        <v>17.068000000000001</v>
      </c>
      <c r="E67" s="1">
        <v>17.065999999999999</v>
      </c>
      <c r="F67" s="1">
        <v>21.54</v>
      </c>
    </row>
    <row r="68" spans="1:6">
      <c r="A68" s="4">
        <v>45980.6547915509</v>
      </c>
      <c r="B68" s="1">
        <v>990</v>
      </c>
      <c r="C68" s="1">
        <v>28.19</v>
      </c>
      <c r="D68" s="1">
        <v>16.916</v>
      </c>
      <c r="E68" s="1">
        <v>16.917999999999999</v>
      </c>
      <c r="F68" s="1">
        <v>21.54</v>
      </c>
    </row>
    <row r="69" spans="1:6">
      <c r="A69" s="4">
        <v>45980.654820833297</v>
      </c>
      <c r="B69" s="1">
        <v>520</v>
      </c>
      <c r="C69" s="1">
        <v>30.72</v>
      </c>
      <c r="D69" s="1">
        <v>16.8</v>
      </c>
      <c r="E69" s="1">
        <v>16.812999999999999</v>
      </c>
      <c r="F69" s="1">
        <v>21.54</v>
      </c>
    </row>
    <row r="70" spans="1:6">
      <c r="A70" s="4">
        <v>45980.654861226903</v>
      </c>
      <c r="B70" s="1">
        <v>10</v>
      </c>
      <c r="C70" s="1">
        <v>34.21</v>
      </c>
      <c r="D70" s="1">
        <v>16.651</v>
      </c>
      <c r="E70" s="1">
        <v>16.670000000000002</v>
      </c>
      <c r="F70" s="1">
        <v>21.54</v>
      </c>
    </row>
    <row r="71" spans="1:6">
      <c r="A71" s="4">
        <v>45980.654892256898</v>
      </c>
      <c r="B71" s="1">
        <v>691</v>
      </c>
      <c r="C71" s="1">
        <v>36.89</v>
      </c>
      <c r="D71" s="1">
        <v>16.542999999999999</v>
      </c>
      <c r="E71" s="1">
        <v>16.561</v>
      </c>
      <c r="F71" s="1">
        <v>21.54</v>
      </c>
    </row>
    <row r="72" spans="1:6">
      <c r="A72" s="4">
        <v>45980.654921446803</v>
      </c>
      <c r="B72" s="1">
        <v>213</v>
      </c>
      <c r="C72" s="1">
        <v>39.42</v>
      </c>
      <c r="D72" s="1">
        <v>16.433</v>
      </c>
      <c r="E72" s="1">
        <v>16.459</v>
      </c>
      <c r="F72" s="1">
        <v>21.54</v>
      </c>
    </row>
    <row r="73" spans="1:6">
      <c r="A73" s="4">
        <v>45980.654961828703</v>
      </c>
      <c r="B73" s="1">
        <v>702</v>
      </c>
      <c r="C73" s="1">
        <v>42.91</v>
      </c>
      <c r="D73" s="1">
        <v>16.291</v>
      </c>
      <c r="E73" s="1">
        <v>16.318999999999999</v>
      </c>
      <c r="F73" s="1">
        <v>21.54</v>
      </c>
    </row>
    <row r="74" spans="1:6">
      <c r="A74" s="4">
        <v>45980.655002233798</v>
      </c>
      <c r="B74" s="1">
        <v>193</v>
      </c>
      <c r="C74" s="1">
        <v>46.4</v>
      </c>
      <c r="D74" s="1">
        <v>16.164000000000001</v>
      </c>
      <c r="E74" s="1">
        <v>16.18</v>
      </c>
      <c r="F74" s="1">
        <v>21.54</v>
      </c>
    </row>
    <row r="75" spans="1:6">
      <c r="A75" s="4">
        <v>45980.6550425116</v>
      </c>
      <c r="B75" s="1">
        <v>673</v>
      </c>
      <c r="C75" s="1">
        <v>49.88</v>
      </c>
      <c r="D75" s="1">
        <v>16.021999999999998</v>
      </c>
      <c r="E75" s="1">
        <v>16.042999999999999</v>
      </c>
      <c r="F75" s="1">
        <v>21.54</v>
      </c>
    </row>
    <row r="76" spans="1:6">
      <c r="A76" s="4">
        <v>45980.655083263897</v>
      </c>
      <c r="B76" s="1">
        <v>194</v>
      </c>
      <c r="C76" s="1">
        <v>53.4</v>
      </c>
      <c r="D76" s="1">
        <v>15.878</v>
      </c>
      <c r="E76" s="1">
        <v>15.906000000000001</v>
      </c>
      <c r="F76" s="1">
        <v>21.54</v>
      </c>
    </row>
    <row r="77" spans="1:6">
      <c r="A77" s="4">
        <v>45980.655112673601</v>
      </c>
      <c r="B77" s="1">
        <v>735</v>
      </c>
      <c r="C77" s="1">
        <v>55.94</v>
      </c>
      <c r="D77" s="1">
        <v>15.763999999999999</v>
      </c>
      <c r="E77" s="1">
        <v>15.807</v>
      </c>
      <c r="F77" s="1">
        <v>21.54</v>
      </c>
    </row>
    <row r="78" spans="1:6">
      <c r="A78" s="4">
        <v>45980.655152835701</v>
      </c>
      <c r="B78" s="1">
        <v>205</v>
      </c>
      <c r="C78" s="1">
        <v>59.41</v>
      </c>
      <c r="D78" s="1">
        <v>15.635999999999999</v>
      </c>
      <c r="E78" s="1">
        <v>15.673</v>
      </c>
      <c r="F78" s="1">
        <v>21.54</v>
      </c>
    </row>
    <row r="79" spans="1:6">
      <c r="A79" s="4">
        <v>45980.655193113402</v>
      </c>
      <c r="B79" s="1">
        <v>685</v>
      </c>
      <c r="C79" s="1">
        <v>62.89</v>
      </c>
      <c r="D79" s="1">
        <v>15.507999999999999</v>
      </c>
      <c r="E79" s="1">
        <v>15.541</v>
      </c>
      <c r="F79" s="1">
        <v>21.54</v>
      </c>
    </row>
    <row r="80" spans="1:6">
      <c r="A80" s="4">
        <v>45980.655234085702</v>
      </c>
      <c r="B80" s="1">
        <v>225</v>
      </c>
      <c r="C80" s="1">
        <v>66.430000000000007</v>
      </c>
      <c r="D80" s="1">
        <v>15.384</v>
      </c>
      <c r="E80" s="1">
        <v>15.407</v>
      </c>
      <c r="F80" s="1">
        <v>21.54</v>
      </c>
    </row>
    <row r="81" spans="1:6">
      <c r="A81" s="4">
        <v>45980.655273912002</v>
      </c>
      <c r="B81" s="1">
        <v>666</v>
      </c>
      <c r="C81" s="1">
        <v>69.87</v>
      </c>
      <c r="D81" s="1">
        <v>15.241</v>
      </c>
      <c r="E81" s="1">
        <v>15.278</v>
      </c>
      <c r="F81" s="1">
        <v>21.54</v>
      </c>
    </row>
    <row r="82" spans="1:6">
      <c r="A82" s="4">
        <v>45980.655313958297</v>
      </c>
      <c r="B82" s="1">
        <v>126</v>
      </c>
      <c r="C82" s="1">
        <v>73.33</v>
      </c>
      <c r="D82" s="1">
        <v>15.108000000000001</v>
      </c>
      <c r="E82" s="1">
        <v>15.148999999999999</v>
      </c>
      <c r="F82" s="1">
        <v>21.54</v>
      </c>
    </row>
    <row r="83" spans="1:6">
      <c r="A83" s="4">
        <v>45980.655344050901</v>
      </c>
      <c r="B83" s="1">
        <v>726</v>
      </c>
      <c r="C83" s="1">
        <v>75.930000000000007</v>
      </c>
      <c r="D83" s="1">
        <v>15.003</v>
      </c>
      <c r="E83" s="1">
        <v>15.053000000000001</v>
      </c>
      <c r="F83" s="1">
        <v>21.54</v>
      </c>
    </row>
    <row r="84" spans="1:6">
      <c r="A84" s="4">
        <v>45980.655384687503</v>
      </c>
      <c r="B84" s="1">
        <v>237</v>
      </c>
      <c r="C84" s="1">
        <v>79.44</v>
      </c>
      <c r="D84" s="1">
        <v>14.884</v>
      </c>
      <c r="E84" s="1">
        <v>14.925000000000001</v>
      </c>
      <c r="F84" s="1">
        <v>21.54</v>
      </c>
    </row>
    <row r="85" spans="1:6">
      <c r="A85" s="4">
        <v>45980.655426122699</v>
      </c>
      <c r="B85" s="1">
        <v>817</v>
      </c>
      <c r="C85" s="1">
        <v>83.02</v>
      </c>
      <c r="D85" s="1">
        <v>14.77</v>
      </c>
      <c r="E85" s="1">
        <v>14.795</v>
      </c>
      <c r="F85" s="1">
        <v>21.53</v>
      </c>
    </row>
    <row r="86" spans="1:6">
      <c r="A86" s="4">
        <v>45980.655457488399</v>
      </c>
      <c r="B86" s="1">
        <v>527</v>
      </c>
      <c r="C86" s="1">
        <v>85.73</v>
      </c>
      <c r="D86" s="1">
        <v>14.667</v>
      </c>
      <c r="E86" s="1">
        <v>14.698</v>
      </c>
      <c r="F86" s="1">
        <v>21.53</v>
      </c>
    </row>
    <row r="87" spans="1:6">
      <c r="A87" s="4">
        <v>45980.655499398097</v>
      </c>
      <c r="B87" s="1">
        <v>148</v>
      </c>
      <c r="C87" s="1">
        <v>89.35</v>
      </c>
      <c r="D87" s="1">
        <v>14.558</v>
      </c>
      <c r="E87" s="1">
        <v>14.568</v>
      </c>
      <c r="F87" s="1">
        <v>21.53</v>
      </c>
    </row>
    <row r="88" spans="1:6">
      <c r="A88" s="4">
        <v>45980.655539675899</v>
      </c>
      <c r="B88" s="1">
        <v>628</v>
      </c>
      <c r="C88" s="1">
        <v>92.83</v>
      </c>
      <c r="D88" s="1">
        <v>14.444000000000001</v>
      </c>
      <c r="E88" s="1">
        <v>14.445</v>
      </c>
      <c r="F88" s="1">
        <v>21.53</v>
      </c>
    </row>
    <row r="89" spans="1:6">
      <c r="A89" s="4">
        <v>45980.655567812501</v>
      </c>
      <c r="B89" s="1">
        <v>59</v>
      </c>
      <c r="C89" s="1">
        <v>95.26</v>
      </c>
      <c r="D89" s="1">
        <v>14.332000000000001</v>
      </c>
      <c r="E89" s="1">
        <v>14.36</v>
      </c>
      <c r="F89" s="1">
        <v>21.53</v>
      </c>
    </row>
    <row r="90" spans="1:6">
      <c r="A90" s="4">
        <v>45980.655609594898</v>
      </c>
      <c r="B90" s="1">
        <v>669</v>
      </c>
      <c r="C90" s="1">
        <v>98.87</v>
      </c>
      <c r="D90" s="1">
        <v>14.195</v>
      </c>
      <c r="E90" s="1">
        <v>14.234</v>
      </c>
      <c r="F90" s="1">
        <v>21.53</v>
      </c>
    </row>
    <row r="91" spans="1:6">
      <c r="A91" s="4">
        <v>45980.6556506829</v>
      </c>
      <c r="B91" s="1">
        <v>219</v>
      </c>
      <c r="C91" s="1">
        <v>102.42</v>
      </c>
      <c r="D91" s="1">
        <v>14.087</v>
      </c>
      <c r="E91" s="1">
        <v>14.111000000000001</v>
      </c>
      <c r="F91" s="1">
        <v>21.53</v>
      </c>
    </row>
    <row r="92" spans="1:6">
      <c r="A92" s="4">
        <v>45980.655690960702</v>
      </c>
      <c r="B92" s="1">
        <v>699</v>
      </c>
      <c r="C92" s="1">
        <v>105.9</v>
      </c>
      <c r="D92" s="1">
        <v>13.965</v>
      </c>
      <c r="E92" s="1">
        <v>13.992000000000001</v>
      </c>
      <c r="F92" s="1">
        <v>21.53</v>
      </c>
    </row>
    <row r="93" spans="1:6">
      <c r="A93" s="4">
        <v>45980.655732175903</v>
      </c>
      <c r="B93" s="1">
        <v>260</v>
      </c>
      <c r="C93" s="1">
        <v>109.46</v>
      </c>
      <c r="D93" s="1">
        <v>13.848000000000001</v>
      </c>
      <c r="E93" s="1">
        <v>13.871</v>
      </c>
      <c r="F93" s="1">
        <v>21.53</v>
      </c>
    </row>
    <row r="94" spans="1:6">
      <c r="A94" s="4">
        <v>45980.655783217597</v>
      </c>
      <c r="B94" s="1">
        <v>670</v>
      </c>
      <c r="C94" s="1">
        <v>113.87</v>
      </c>
      <c r="D94" s="1">
        <v>13.71</v>
      </c>
      <c r="E94" s="1">
        <v>13.723000000000001</v>
      </c>
      <c r="F94" s="1">
        <v>21.53</v>
      </c>
    </row>
    <row r="95" spans="1:6">
      <c r="A95" s="4">
        <v>45980.655823148103</v>
      </c>
      <c r="B95" s="1">
        <v>120</v>
      </c>
      <c r="C95" s="1">
        <v>117.32</v>
      </c>
      <c r="D95" s="1">
        <v>13.597</v>
      </c>
      <c r="E95" s="1">
        <v>13.608000000000001</v>
      </c>
      <c r="F95" s="1">
        <v>21.53</v>
      </c>
    </row>
    <row r="96" spans="1:6">
      <c r="A96" s="4">
        <v>45980.655864131899</v>
      </c>
      <c r="B96" s="1">
        <v>661</v>
      </c>
      <c r="C96" s="1">
        <v>120.86</v>
      </c>
      <c r="D96" s="1">
        <v>13.49</v>
      </c>
      <c r="E96" s="1">
        <v>13.491</v>
      </c>
      <c r="F96" s="1">
        <v>21.53</v>
      </c>
    </row>
    <row r="97" spans="1:6">
      <c r="A97" s="4">
        <v>45980.6559041898</v>
      </c>
      <c r="B97" s="1">
        <v>122</v>
      </c>
      <c r="C97" s="1">
        <v>124.33</v>
      </c>
      <c r="D97" s="1">
        <v>13.375999999999999</v>
      </c>
      <c r="E97" s="1">
        <v>13.378</v>
      </c>
      <c r="F97" s="1">
        <v>21.53</v>
      </c>
    </row>
    <row r="98" spans="1:6">
      <c r="A98" s="4">
        <v>45980.655945381899</v>
      </c>
      <c r="B98" s="1">
        <v>681</v>
      </c>
      <c r="C98" s="1">
        <v>127.88</v>
      </c>
      <c r="D98" s="1">
        <v>13.262</v>
      </c>
      <c r="E98" s="1">
        <v>13.263</v>
      </c>
      <c r="F98" s="1">
        <v>21.53</v>
      </c>
    </row>
    <row r="99" spans="1:6">
      <c r="A99" s="4">
        <v>45980.655985671299</v>
      </c>
      <c r="B99" s="1">
        <v>162</v>
      </c>
      <c r="C99" s="1">
        <v>131.37</v>
      </c>
      <c r="D99" s="1">
        <v>13.154999999999999</v>
      </c>
      <c r="E99" s="1">
        <v>13.151</v>
      </c>
      <c r="F99" s="1">
        <v>21.53</v>
      </c>
    </row>
    <row r="100" spans="1:6">
      <c r="A100" s="4">
        <v>45980.656026053199</v>
      </c>
      <c r="B100" s="1">
        <v>651</v>
      </c>
      <c r="C100" s="1">
        <v>134.85</v>
      </c>
      <c r="D100" s="1">
        <v>13.044</v>
      </c>
      <c r="E100" s="1">
        <v>13.04</v>
      </c>
      <c r="F100" s="1">
        <v>21.53</v>
      </c>
    </row>
    <row r="101" spans="1:6">
      <c r="A101" s="4">
        <v>45980.656065868097</v>
      </c>
      <c r="B101" s="1">
        <v>91</v>
      </c>
      <c r="C101" s="1">
        <v>138.29</v>
      </c>
      <c r="D101" s="1">
        <v>12.935</v>
      </c>
      <c r="E101" s="1">
        <v>12.930999999999999</v>
      </c>
      <c r="F101" s="1">
        <v>21.53</v>
      </c>
    </row>
    <row r="102" spans="1:6">
      <c r="A102" s="4">
        <v>45980.656118067098</v>
      </c>
      <c r="B102" s="1">
        <v>601</v>
      </c>
      <c r="C102" s="1">
        <v>142.80000000000001</v>
      </c>
      <c r="D102" s="1">
        <v>12.807</v>
      </c>
      <c r="E102" s="1">
        <v>12.79</v>
      </c>
      <c r="F102" s="1">
        <v>21.53</v>
      </c>
    </row>
    <row r="103" spans="1:6">
      <c r="A103" s="4">
        <v>45980.656159270802</v>
      </c>
      <c r="B103" s="1">
        <v>161</v>
      </c>
      <c r="C103" s="1">
        <v>146.36000000000001</v>
      </c>
      <c r="D103" s="1">
        <v>12.698</v>
      </c>
      <c r="E103" s="1">
        <v>12.68</v>
      </c>
      <c r="F103" s="1">
        <v>21.53</v>
      </c>
    </row>
    <row r="104" spans="1:6">
      <c r="A104" s="4">
        <v>45980.656199328703</v>
      </c>
      <c r="B104" s="1">
        <v>622</v>
      </c>
      <c r="C104" s="1">
        <v>149.83000000000001</v>
      </c>
      <c r="D104" s="1">
        <v>12.573</v>
      </c>
      <c r="E104" s="1">
        <v>12.574</v>
      </c>
      <c r="F104" s="1">
        <v>21.53</v>
      </c>
    </row>
    <row r="105" spans="1:6">
      <c r="A105" s="4">
        <v>45980.6562503819</v>
      </c>
      <c r="B105" s="1">
        <v>33</v>
      </c>
      <c r="C105" s="1">
        <v>154.24</v>
      </c>
      <c r="D105" s="1">
        <v>12.451000000000001</v>
      </c>
      <c r="E105" s="1">
        <v>12.44</v>
      </c>
      <c r="F105" s="1">
        <v>21.53</v>
      </c>
    </row>
    <row r="106" spans="1:6">
      <c r="A106" s="4">
        <v>45980.656291817097</v>
      </c>
      <c r="B106" s="1">
        <v>613</v>
      </c>
      <c r="C106" s="1">
        <v>157.82</v>
      </c>
      <c r="D106" s="1">
        <v>12.343999999999999</v>
      </c>
      <c r="E106" s="1">
        <v>12.332000000000001</v>
      </c>
      <c r="F106" s="1">
        <v>21.53</v>
      </c>
    </row>
    <row r="107" spans="1:6">
      <c r="A107" s="4">
        <v>45980.656343321803</v>
      </c>
      <c r="B107" s="1">
        <v>63</v>
      </c>
      <c r="C107" s="1">
        <v>162.27000000000001</v>
      </c>
      <c r="D107" s="1">
        <v>12.218</v>
      </c>
      <c r="E107" s="1">
        <v>12.2</v>
      </c>
      <c r="F107" s="1">
        <v>21.53</v>
      </c>
    </row>
    <row r="108" spans="1:6">
      <c r="A108" s="4">
        <v>45980.656383958303</v>
      </c>
      <c r="B108" s="1">
        <v>574</v>
      </c>
      <c r="C108" s="1">
        <v>165.78</v>
      </c>
      <c r="D108" s="1">
        <v>12.112</v>
      </c>
      <c r="E108" s="1">
        <v>12.096</v>
      </c>
      <c r="F108" s="1">
        <v>21.53</v>
      </c>
    </row>
    <row r="109" spans="1:6">
      <c r="A109" s="4">
        <v>45980.656424351902</v>
      </c>
      <c r="B109" s="1">
        <v>64</v>
      </c>
      <c r="C109" s="1">
        <v>169.27</v>
      </c>
      <c r="D109" s="1">
        <v>12.012</v>
      </c>
      <c r="E109" s="1">
        <v>11.994</v>
      </c>
      <c r="F109" s="1">
        <v>21.53</v>
      </c>
    </row>
    <row r="110" spans="1:6">
      <c r="A110" s="4">
        <v>45980.656475509299</v>
      </c>
      <c r="B110" s="1">
        <v>484</v>
      </c>
      <c r="C110" s="1">
        <v>173.69</v>
      </c>
      <c r="D110" s="1">
        <v>11.884</v>
      </c>
      <c r="E110" s="1">
        <v>11.867000000000001</v>
      </c>
      <c r="F110" s="1">
        <v>21.53</v>
      </c>
    </row>
    <row r="111" spans="1:6">
      <c r="A111" s="4">
        <v>45980.656516261603</v>
      </c>
      <c r="B111" s="1">
        <v>5</v>
      </c>
      <c r="C111" s="1">
        <v>177.21</v>
      </c>
      <c r="D111" s="1">
        <v>11.782999999999999</v>
      </c>
      <c r="E111" s="1">
        <v>11.766</v>
      </c>
      <c r="F111" s="1">
        <v>21.53</v>
      </c>
    </row>
    <row r="112" spans="1:6">
      <c r="A112" s="4">
        <v>45980.6565677662</v>
      </c>
      <c r="B112" s="1">
        <v>455</v>
      </c>
      <c r="C112" s="1">
        <v>181.66</v>
      </c>
      <c r="D112" s="1">
        <v>11.661</v>
      </c>
      <c r="E112" s="1">
        <v>11.64</v>
      </c>
      <c r="F112" s="1">
        <v>21.53</v>
      </c>
    </row>
    <row r="113" spans="1:6">
      <c r="A113" s="4">
        <v>45980.656619166701</v>
      </c>
      <c r="B113" s="1">
        <v>896</v>
      </c>
      <c r="C113" s="1">
        <v>186.1</v>
      </c>
      <c r="D113" s="1">
        <v>11.532999999999999</v>
      </c>
      <c r="E113" s="1">
        <v>11.515000000000001</v>
      </c>
      <c r="F113" s="1">
        <v>21.53</v>
      </c>
    </row>
    <row r="114" spans="1:6">
      <c r="A114" s="4">
        <v>45980.656671249999</v>
      </c>
      <c r="B114" s="1">
        <v>396</v>
      </c>
      <c r="C114" s="1">
        <v>190.6</v>
      </c>
      <c r="D114" s="1">
        <v>11.423</v>
      </c>
      <c r="E114" s="1">
        <v>11.39</v>
      </c>
      <c r="F114" s="1">
        <v>21.53</v>
      </c>
    </row>
    <row r="115" spans="1:6">
      <c r="A115" s="4">
        <v>45980.656722650499</v>
      </c>
      <c r="B115" s="1">
        <v>837</v>
      </c>
      <c r="C115" s="1">
        <v>195.04</v>
      </c>
      <c r="D115" s="1">
        <v>11.294</v>
      </c>
      <c r="E115" s="1">
        <v>11.269</v>
      </c>
      <c r="F115" s="1">
        <v>21.53</v>
      </c>
    </row>
    <row r="116" spans="1:6">
      <c r="A116" s="4">
        <v>45980.656774328701</v>
      </c>
      <c r="B116" s="1">
        <v>302</v>
      </c>
      <c r="C116" s="1">
        <v>199.51</v>
      </c>
      <c r="D116" s="1">
        <v>11.178000000000001</v>
      </c>
      <c r="E116" s="1">
        <v>11.147</v>
      </c>
      <c r="F116" s="1">
        <v>21.53</v>
      </c>
    </row>
    <row r="117" spans="1:6">
      <c r="A117" s="4">
        <v>45980.656814838003</v>
      </c>
      <c r="B117" s="1">
        <v>802</v>
      </c>
      <c r="C117" s="1">
        <v>203.01</v>
      </c>
      <c r="D117" s="1">
        <v>11.074</v>
      </c>
      <c r="E117" s="1">
        <v>11.054</v>
      </c>
      <c r="F117" s="1">
        <v>21.53</v>
      </c>
    </row>
    <row r="118" spans="1:6">
      <c r="A118" s="4">
        <v>45980.656866122699</v>
      </c>
      <c r="B118" s="1">
        <v>233</v>
      </c>
      <c r="C118" s="1">
        <v>207.44</v>
      </c>
      <c r="D118" s="1">
        <v>10.972</v>
      </c>
      <c r="E118" s="1">
        <v>10.936</v>
      </c>
      <c r="F118" s="1">
        <v>21.53</v>
      </c>
    </row>
    <row r="119" spans="1:6">
      <c r="A119" s="4">
        <v>45980.656906157397</v>
      </c>
      <c r="B119" s="1">
        <v>692</v>
      </c>
      <c r="C119" s="1">
        <v>210.89</v>
      </c>
      <c r="D119" s="1">
        <v>10.858000000000001</v>
      </c>
      <c r="E119" s="1">
        <v>10.845000000000001</v>
      </c>
      <c r="F119" s="1">
        <v>21.53</v>
      </c>
    </row>
    <row r="120" spans="1:6">
      <c r="A120" s="4">
        <v>45980.656958148102</v>
      </c>
      <c r="B120" s="1">
        <v>184</v>
      </c>
      <c r="C120" s="1">
        <v>215.39</v>
      </c>
      <c r="D120" s="1">
        <v>10.756</v>
      </c>
      <c r="E120" s="1">
        <v>10.728</v>
      </c>
      <c r="F120" s="1">
        <v>21.53</v>
      </c>
    </row>
    <row r="121" spans="1:6">
      <c r="A121" s="4">
        <v>45980.656998298597</v>
      </c>
      <c r="B121" s="1">
        <v>653</v>
      </c>
      <c r="C121" s="1">
        <v>218.86</v>
      </c>
      <c r="D121" s="1">
        <v>10.648</v>
      </c>
      <c r="E121" s="1">
        <v>10.638</v>
      </c>
      <c r="F121" s="1">
        <v>21.53</v>
      </c>
    </row>
    <row r="122" spans="1:6">
      <c r="A122" s="4">
        <v>45980.657050162001</v>
      </c>
      <c r="B122" s="1">
        <v>134</v>
      </c>
      <c r="C122" s="1">
        <v>223.34</v>
      </c>
      <c r="D122" s="1">
        <v>10.541</v>
      </c>
      <c r="E122" s="1">
        <v>10.523999999999999</v>
      </c>
      <c r="F122" s="1">
        <v>21.52</v>
      </c>
    </row>
    <row r="123" spans="1:6">
      <c r="A123" s="4">
        <v>45980.657094282396</v>
      </c>
      <c r="B123" s="1">
        <v>946</v>
      </c>
      <c r="C123" s="1">
        <v>227.15</v>
      </c>
      <c r="D123" s="1">
        <v>10.436999999999999</v>
      </c>
      <c r="E123" s="1">
        <v>10.427</v>
      </c>
      <c r="F123" s="1">
        <v>21.52</v>
      </c>
    </row>
    <row r="124" spans="1:6">
      <c r="A124" s="4">
        <v>45980.657146192098</v>
      </c>
      <c r="B124" s="1">
        <v>431</v>
      </c>
      <c r="C124" s="1">
        <v>231.63</v>
      </c>
      <c r="D124" s="1">
        <v>10.336</v>
      </c>
      <c r="E124" s="1">
        <v>10.315</v>
      </c>
      <c r="F124" s="1">
        <v>21.52</v>
      </c>
    </row>
    <row r="125" spans="1:6">
      <c r="A125" s="4">
        <v>45980.657186238401</v>
      </c>
      <c r="B125" s="1">
        <v>891</v>
      </c>
      <c r="C125" s="1">
        <v>235.09</v>
      </c>
      <c r="D125" s="1">
        <v>10.236000000000001</v>
      </c>
      <c r="E125" s="1">
        <v>10.23</v>
      </c>
      <c r="F125" s="1">
        <v>21.52</v>
      </c>
    </row>
    <row r="126" spans="1:6">
      <c r="A126" s="4">
        <v>45980.657237997701</v>
      </c>
      <c r="B126" s="1">
        <v>363</v>
      </c>
      <c r="C126" s="1">
        <v>239.57</v>
      </c>
      <c r="D126" s="1">
        <v>10.135</v>
      </c>
      <c r="E126" s="1">
        <v>10.119999999999999</v>
      </c>
      <c r="F126" s="1">
        <v>21.52</v>
      </c>
    </row>
    <row r="127" spans="1:6">
      <c r="A127" s="4">
        <v>45980.657289502298</v>
      </c>
      <c r="B127" s="1">
        <v>813</v>
      </c>
      <c r="C127" s="1">
        <v>244.02</v>
      </c>
      <c r="D127" s="1">
        <v>10.019</v>
      </c>
      <c r="E127" s="1">
        <v>10.012</v>
      </c>
      <c r="F127" s="1">
        <v>21.52</v>
      </c>
    </row>
    <row r="128" spans="1:6">
      <c r="A128" s="4">
        <v>45980.6573403125</v>
      </c>
      <c r="B128" s="1">
        <v>203</v>
      </c>
      <c r="C128" s="1">
        <v>248.41</v>
      </c>
      <c r="D128" s="1">
        <v>9.9120000000000008</v>
      </c>
      <c r="E128" s="1">
        <v>9.907</v>
      </c>
      <c r="F128" s="1">
        <v>21.52</v>
      </c>
    </row>
    <row r="129" spans="1:6">
      <c r="A129" s="4">
        <v>45980.657402812503</v>
      </c>
      <c r="B129" s="1">
        <v>603</v>
      </c>
      <c r="C129" s="1">
        <v>253.81</v>
      </c>
      <c r="D129" s="1">
        <v>9.7859999999999996</v>
      </c>
      <c r="E129" s="1">
        <v>9.7789999999999999</v>
      </c>
      <c r="F129" s="1">
        <v>21.52</v>
      </c>
    </row>
    <row r="130" spans="1:6">
      <c r="A130" s="4">
        <v>45980.6574546759</v>
      </c>
      <c r="B130" s="1">
        <v>84</v>
      </c>
      <c r="C130" s="1">
        <v>258.29000000000002</v>
      </c>
      <c r="D130" s="1">
        <v>9.6709999999999994</v>
      </c>
      <c r="E130" s="1">
        <v>9.6739999999999995</v>
      </c>
      <c r="F130" s="1">
        <v>21.52</v>
      </c>
    </row>
    <row r="131" spans="1:6">
      <c r="A131" s="4">
        <v>45980.657517071799</v>
      </c>
      <c r="B131" s="1">
        <v>475</v>
      </c>
      <c r="C131" s="1">
        <v>263.68</v>
      </c>
      <c r="D131" s="1">
        <v>9.5559999999999992</v>
      </c>
      <c r="E131" s="1">
        <v>9.5489999999999995</v>
      </c>
      <c r="F131" s="1">
        <v>21.52</v>
      </c>
    </row>
    <row r="132" spans="1:6">
      <c r="A132" s="4">
        <v>45980.657569398201</v>
      </c>
      <c r="B132" s="1">
        <v>996</v>
      </c>
      <c r="C132" s="1">
        <v>268.2</v>
      </c>
      <c r="D132" s="1">
        <v>9.4359999999999999</v>
      </c>
      <c r="E132" s="1">
        <v>9.4459999999999997</v>
      </c>
      <c r="F132" s="1">
        <v>21.52</v>
      </c>
    </row>
    <row r="133" spans="1:6">
      <c r="A133" s="4">
        <v>45980.657632835602</v>
      </c>
      <c r="B133" s="1">
        <v>477</v>
      </c>
      <c r="C133" s="1">
        <v>273.68</v>
      </c>
      <c r="D133" s="1">
        <v>9.3190000000000008</v>
      </c>
      <c r="E133" s="1">
        <v>9.3230000000000004</v>
      </c>
      <c r="F133" s="1">
        <v>21.52</v>
      </c>
    </row>
    <row r="134" spans="1:6">
      <c r="A134" s="4">
        <v>45980.657685509301</v>
      </c>
      <c r="B134" s="1">
        <v>28</v>
      </c>
      <c r="C134" s="1">
        <v>278.23</v>
      </c>
      <c r="D134" s="1">
        <v>9.2050000000000001</v>
      </c>
      <c r="E134" s="1">
        <v>9.2210000000000001</v>
      </c>
      <c r="F134" s="1">
        <v>21.52</v>
      </c>
    </row>
    <row r="135" spans="1:6">
      <c r="A135" s="4">
        <v>45980.6577478935</v>
      </c>
      <c r="B135" s="1">
        <v>418</v>
      </c>
      <c r="C135" s="1">
        <v>283.62</v>
      </c>
      <c r="D135" s="1">
        <v>9.0950000000000006</v>
      </c>
      <c r="E135" s="1">
        <v>9.1029999999999998</v>
      </c>
      <c r="F135" s="1">
        <v>21.52</v>
      </c>
    </row>
    <row r="136" spans="1:6">
      <c r="A136" s="4">
        <v>45980.657800451401</v>
      </c>
      <c r="B136" s="1">
        <v>959</v>
      </c>
      <c r="C136" s="1">
        <v>288.16000000000003</v>
      </c>
      <c r="D136" s="1">
        <v>8.99</v>
      </c>
      <c r="E136" s="1">
        <v>9.0039999999999996</v>
      </c>
      <c r="F136" s="1">
        <v>21.52</v>
      </c>
    </row>
    <row r="137" spans="1:6">
      <c r="A137" s="4">
        <v>45980.657863761597</v>
      </c>
      <c r="B137" s="1">
        <v>429</v>
      </c>
      <c r="C137" s="1">
        <v>293.63</v>
      </c>
      <c r="D137" s="1">
        <v>8.8759999999999994</v>
      </c>
      <c r="E137" s="1">
        <v>8.8870000000000005</v>
      </c>
      <c r="F137" s="1">
        <v>21.52</v>
      </c>
    </row>
    <row r="138" spans="1:6">
      <c r="A138" s="4">
        <v>45980.657918449098</v>
      </c>
      <c r="B138" s="1">
        <v>154</v>
      </c>
      <c r="C138" s="1">
        <v>298.36</v>
      </c>
      <c r="D138" s="1">
        <v>8.766</v>
      </c>
      <c r="E138" s="1">
        <v>8.7870000000000008</v>
      </c>
      <c r="F138" s="1">
        <v>21.52</v>
      </c>
    </row>
    <row r="139" spans="1:6">
      <c r="A139" s="4">
        <v>45980.657971238397</v>
      </c>
      <c r="B139" s="1">
        <v>715</v>
      </c>
      <c r="C139" s="1">
        <v>302.92</v>
      </c>
      <c r="D139" s="1">
        <v>8.66</v>
      </c>
      <c r="E139" s="1">
        <v>8.6920000000000002</v>
      </c>
      <c r="F139" s="1">
        <v>21.52</v>
      </c>
    </row>
    <row r="140" spans="1:6">
      <c r="A140" s="4">
        <v>45980.658032916697</v>
      </c>
      <c r="B140" s="1">
        <v>44</v>
      </c>
      <c r="C140" s="1">
        <v>308.25</v>
      </c>
      <c r="D140" s="1">
        <v>8.5489999999999995</v>
      </c>
      <c r="E140" s="1">
        <v>8.5820000000000007</v>
      </c>
      <c r="F140" s="1">
        <v>21.52</v>
      </c>
    </row>
    <row r="141" spans="1:6">
      <c r="A141" s="4">
        <v>45980.6580940278</v>
      </c>
      <c r="B141" s="1">
        <v>324</v>
      </c>
      <c r="C141" s="1">
        <v>313.52999999999997</v>
      </c>
      <c r="D141" s="1">
        <v>8.4440000000000008</v>
      </c>
      <c r="E141" s="1">
        <v>8.4740000000000002</v>
      </c>
      <c r="F141" s="1">
        <v>21.52</v>
      </c>
    </row>
    <row r="142" spans="1:6">
      <c r="A142" s="4">
        <v>45980.658147291702</v>
      </c>
      <c r="B142" s="1">
        <v>926</v>
      </c>
      <c r="C142" s="1">
        <v>318.13</v>
      </c>
      <c r="D142" s="1">
        <v>8.3420000000000005</v>
      </c>
      <c r="E142" s="1">
        <v>8.3810000000000002</v>
      </c>
      <c r="F142" s="1">
        <v>21.52</v>
      </c>
    </row>
    <row r="143" spans="1:6">
      <c r="A143" s="4">
        <v>45980.658210370399</v>
      </c>
      <c r="B143" s="1">
        <v>376</v>
      </c>
      <c r="C143" s="1">
        <v>323.58</v>
      </c>
      <c r="D143" s="1">
        <v>8.2390000000000008</v>
      </c>
      <c r="E143" s="1">
        <v>8.2729999999999997</v>
      </c>
      <c r="F143" s="1">
        <v>21.52</v>
      </c>
    </row>
    <row r="144" spans="1:6">
      <c r="A144" s="4">
        <v>45980.658273229201</v>
      </c>
      <c r="B144" s="1">
        <v>807</v>
      </c>
      <c r="C144" s="1">
        <v>329.01</v>
      </c>
      <c r="D144" s="1">
        <v>8.1319999999999997</v>
      </c>
      <c r="E144" s="1">
        <v>8.1660000000000004</v>
      </c>
      <c r="F144" s="1">
        <v>21.52</v>
      </c>
    </row>
    <row r="145" spans="1:6">
      <c r="A145" s="4">
        <v>45980.658335856497</v>
      </c>
      <c r="B145" s="1">
        <v>218</v>
      </c>
      <c r="C145" s="1">
        <v>334.42</v>
      </c>
      <c r="D145" s="1">
        <v>8.01</v>
      </c>
      <c r="E145" s="1">
        <v>8.0619999999999994</v>
      </c>
      <c r="F145" s="1">
        <v>21.52</v>
      </c>
    </row>
    <row r="146" spans="1:6">
      <c r="A146" s="4">
        <v>45980.6584086574</v>
      </c>
      <c r="B146" s="1">
        <v>508</v>
      </c>
      <c r="C146" s="1">
        <v>340.71</v>
      </c>
      <c r="D146" s="1">
        <v>7.89</v>
      </c>
      <c r="E146" s="1">
        <v>7.9420000000000002</v>
      </c>
      <c r="F146" s="1">
        <v>21.52</v>
      </c>
    </row>
    <row r="147" spans="1:6">
      <c r="A147" s="4">
        <v>45980.658482152801</v>
      </c>
      <c r="B147" s="1">
        <v>858</v>
      </c>
      <c r="C147" s="1">
        <v>347.06</v>
      </c>
      <c r="D147" s="1">
        <v>7.7649999999999997</v>
      </c>
      <c r="E147" s="1">
        <v>7.8230000000000004</v>
      </c>
      <c r="F147" s="1">
        <v>21.52</v>
      </c>
    </row>
    <row r="148" spans="1:6">
      <c r="A148" s="4">
        <v>45980.658544664402</v>
      </c>
      <c r="B148" s="1">
        <v>259</v>
      </c>
      <c r="C148" s="1">
        <v>352.46</v>
      </c>
      <c r="D148" s="1">
        <v>7.6639999999999997</v>
      </c>
      <c r="E148" s="1">
        <v>7.7229999999999999</v>
      </c>
      <c r="F148" s="1">
        <v>21.52</v>
      </c>
    </row>
    <row r="149" spans="1:6">
      <c r="A149" s="4">
        <v>45980.658618055597</v>
      </c>
      <c r="B149" s="1">
        <v>600</v>
      </c>
      <c r="C149" s="1">
        <v>358.8</v>
      </c>
      <c r="D149" s="1">
        <v>7.5490000000000004</v>
      </c>
      <c r="E149" s="1">
        <v>7.6070000000000002</v>
      </c>
      <c r="F149" s="1">
        <v>21.52</v>
      </c>
    </row>
    <row r="150" spans="1:6">
      <c r="A150" s="4">
        <v>45980.658680208297</v>
      </c>
      <c r="B150" s="1">
        <v>970</v>
      </c>
      <c r="C150" s="1">
        <v>364.17</v>
      </c>
      <c r="D150" s="1">
        <v>7.4429999999999996</v>
      </c>
      <c r="E150" s="1">
        <v>7.5110000000000001</v>
      </c>
      <c r="F150" s="1">
        <v>21.52</v>
      </c>
    </row>
    <row r="151" spans="1:6">
      <c r="A151" s="4">
        <v>45980.658765289401</v>
      </c>
      <c r="B151" s="1">
        <v>321</v>
      </c>
      <c r="C151" s="1">
        <v>371.52</v>
      </c>
      <c r="D151" s="1">
        <v>7.3410000000000002</v>
      </c>
      <c r="E151" s="1">
        <v>7.3810000000000002</v>
      </c>
      <c r="F151" s="1">
        <v>21.52</v>
      </c>
    </row>
    <row r="152" spans="1:6">
      <c r="A152" s="4">
        <v>45980.658838564799</v>
      </c>
      <c r="B152" s="1">
        <v>652</v>
      </c>
      <c r="C152" s="1">
        <v>377.86</v>
      </c>
      <c r="D152" s="1">
        <v>7.2279999999999998</v>
      </c>
      <c r="E152" s="1">
        <v>7.2709999999999999</v>
      </c>
      <c r="F152" s="1">
        <v>21.52</v>
      </c>
    </row>
    <row r="153" spans="1:6">
      <c r="A153" s="4">
        <v>45980.658912534702</v>
      </c>
      <c r="B153" s="1">
        <v>43</v>
      </c>
      <c r="C153" s="1">
        <v>384.25</v>
      </c>
      <c r="D153" s="1">
        <v>7.1210000000000004</v>
      </c>
      <c r="E153" s="1">
        <v>7.1609999999999996</v>
      </c>
      <c r="F153" s="1">
        <v>21.52</v>
      </c>
    </row>
    <row r="154" spans="1:6">
      <c r="A154" s="4">
        <v>45980.658998182902</v>
      </c>
      <c r="B154" s="1">
        <v>443</v>
      </c>
      <c r="C154" s="1">
        <v>391.65</v>
      </c>
      <c r="D154" s="1">
        <v>7.0039999999999996</v>
      </c>
      <c r="E154" s="1">
        <v>7.0369999999999999</v>
      </c>
      <c r="F154" s="1">
        <v>21.52</v>
      </c>
    </row>
    <row r="155" spans="1:6">
      <c r="A155" s="4">
        <v>45980.659071342598</v>
      </c>
      <c r="B155" s="1">
        <v>764</v>
      </c>
      <c r="C155" s="1">
        <v>397.97</v>
      </c>
      <c r="D155" s="1">
        <v>6.8940000000000001</v>
      </c>
      <c r="E155" s="1">
        <v>6.9329999999999998</v>
      </c>
      <c r="F155" s="1">
        <v>21.52</v>
      </c>
    </row>
    <row r="156" spans="1:6">
      <c r="A156" s="4">
        <v>45980.659156400499</v>
      </c>
      <c r="B156" s="1">
        <v>113</v>
      </c>
      <c r="C156" s="1">
        <v>405.32</v>
      </c>
      <c r="D156" s="1">
        <v>6.7809999999999997</v>
      </c>
      <c r="E156" s="1">
        <v>6.8129999999999997</v>
      </c>
      <c r="F156" s="1">
        <v>21.52</v>
      </c>
    </row>
    <row r="157" spans="1:6">
      <c r="A157" s="4">
        <v>45980.659230821802</v>
      </c>
      <c r="B157" s="1">
        <v>543</v>
      </c>
      <c r="C157" s="1">
        <v>411.75</v>
      </c>
      <c r="D157" s="1">
        <v>6.6779999999999999</v>
      </c>
      <c r="E157" s="1">
        <v>6.7110000000000003</v>
      </c>
      <c r="F157" s="1">
        <v>21.52</v>
      </c>
    </row>
    <row r="158" spans="1:6">
      <c r="A158" s="4">
        <v>45980.659315219898</v>
      </c>
      <c r="B158" s="1">
        <v>835</v>
      </c>
      <c r="C158" s="1">
        <v>419.04</v>
      </c>
      <c r="D158" s="1">
        <v>6.5659999999999998</v>
      </c>
      <c r="E158" s="1">
        <v>6.5960000000000001</v>
      </c>
      <c r="F158" s="1">
        <v>21.52</v>
      </c>
    </row>
    <row r="159" spans="1:6">
      <c r="A159" s="4">
        <v>45980.659400289398</v>
      </c>
      <c r="B159" s="1">
        <v>185</v>
      </c>
      <c r="C159" s="1">
        <v>426.39</v>
      </c>
      <c r="D159" s="1">
        <v>6.4560000000000004</v>
      </c>
      <c r="E159" s="1">
        <v>6.4829999999999997</v>
      </c>
      <c r="F159" s="1">
        <v>21.53</v>
      </c>
    </row>
    <row r="160" spans="1:6">
      <c r="A160" s="4">
        <v>45980.659484907403</v>
      </c>
      <c r="B160" s="1">
        <v>496</v>
      </c>
      <c r="C160" s="1">
        <v>433.7</v>
      </c>
      <c r="D160" s="1">
        <v>6.3490000000000002</v>
      </c>
      <c r="E160" s="1">
        <v>6.3730000000000002</v>
      </c>
      <c r="F160" s="1">
        <v>21.52</v>
      </c>
    </row>
    <row r="161" spans="1:6">
      <c r="A161" s="4">
        <v>45980.659569166703</v>
      </c>
      <c r="B161" s="1">
        <v>776</v>
      </c>
      <c r="C161" s="1">
        <v>440.98</v>
      </c>
      <c r="D161" s="1">
        <v>6.2409999999999997</v>
      </c>
      <c r="E161" s="1">
        <v>6.2640000000000002</v>
      </c>
      <c r="F161" s="1">
        <v>21.52</v>
      </c>
    </row>
    <row r="162" spans="1:6">
      <c r="A162" s="4">
        <v>45980.659653437498</v>
      </c>
      <c r="B162" s="1">
        <v>57</v>
      </c>
      <c r="C162" s="1">
        <v>448.26</v>
      </c>
      <c r="D162" s="1">
        <v>6.1310000000000002</v>
      </c>
      <c r="E162" s="1">
        <v>6.1580000000000004</v>
      </c>
      <c r="F162" s="1">
        <v>21.52</v>
      </c>
    </row>
    <row r="163" spans="1:6">
      <c r="A163" s="4">
        <v>45980.6597395602</v>
      </c>
      <c r="B163" s="1">
        <v>498</v>
      </c>
      <c r="C163" s="1">
        <v>455.7</v>
      </c>
      <c r="D163" s="1">
        <v>6.03</v>
      </c>
      <c r="E163" s="1">
        <v>6.0519999999999996</v>
      </c>
      <c r="F163" s="1">
        <v>21.51</v>
      </c>
    </row>
    <row r="164" spans="1:6">
      <c r="A164" s="4">
        <v>45980.659824861097</v>
      </c>
      <c r="B164" s="1">
        <v>868</v>
      </c>
      <c r="C164" s="1">
        <v>463.07</v>
      </c>
      <c r="D164" s="1">
        <v>5.92</v>
      </c>
      <c r="E164" s="1">
        <v>5.9480000000000004</v>
      </c>
      <c r="F164" s="1">
        <v>21.51</v>
      </c>
    </row>
    <row r="165" spans="1:6">
      <c r="A165" s="4">
        <v>45980.659920601902</v>
      </c>
      <c r="B165" s="1">
        <v>140</v>
      </c>
      <c r="C165" s="1">
        <v>471.34</v>
      </c>
      <c r="D165" s="1">
        <v>5.8179999999999996</v>
      </c>
      <c r="E165" s="1">
        <v>5.8339999999999996</v>
      </c>
      <c r="F165" s="1">
        <v>21.51</v>
      </c>
    </row>
    <row r="166" spans="1:6">
      <c r="A166" s="4">
        <v>45980.660015752299</v>
      </c>
      <c r="B166" s="1">
        <v>361</v>
      </c>
      <c r="C166" s="1">
        <v>479.56</v>
      </c>
      <c r="D166" s="1">
        <v>5.7050000000000001</v>
      </c>
      <c r="E166" s="1">
        <v>5.7229999999999999</v>
      </c>
      <c r="F166" s="1">
        <v>21.51</v>
      </c>
    </row>
    <row r="167" spans="1:6">
      <c r="A167" s="4">
        <v>45980.660112060199</v>
      </c>
      <c r="B167" s="1">
        <v>682</v>
      </c>
      <c r="C167" s="1">
        <v>487.89</v>
      </c>
      <c r="D167" s="1">
        <v>5.5890000000000004</v>
      </c>
      <c r="E167" s="1">
        <v>5.6130000000000004</v>
      </c>
      <c r="F167" s="1">
        <v>21.51</v>
      </c>
    </row>
    <row r="168" spans="1:6">
      <c r="A168" s="4">
        <v>45980.6602192477</v>
      </c>
      <c r="B168" s="1">
        <v>943</v>
      </c>
      <c r="C168" s="1">
        <v>497.15</v>
      </c>
      <c r="D168" s="1">
        <v>5.4870000000000001</v>
      </c>
      <c r="E168" s="1">
        <v>5.4939999999999998</v>
      </c>
      <c r="F168" s="1">
        <v>21.51</v>
      </c>
    </row>
    <row r="169" spans="1:6">
      <c r="A169" s="4">
        <v>45980.660314861103</v>
      </c>
      <c r="B169" s="1">
        <v>204</v>
      </c>
      <c r="C169" s="1">
        <v>505.41</v>
      </c>
      <c r="D169" s="1">
        <v>5.3760000000000003</v>
      </c>
      <c r="E169" s="1">
        <v>5.3890000000000002</v>
      </c>
      <c r="F169" s="1">
        <v>21.52</v>
      </c>
    </row>
    <row r="170" spans="1:6">
      <c r="A170" s="4">
        <v>45980.660410138902</v>
      </c>
      <c r="B170" s="1">
        <v>436</v>
      </c>
      <c r="C170" s="1">
        <v>513.64</v>
      </c>
      <c r="D170" s="1">
        <v>5.27</v>
      </c>
      <c r="E170" s="1">
        <v>5.2869999999999999</v>
      </c>
      <c r="F170" s="1">
        <v>21.51</v>
      </c>
    </row>
    <row r="171" spans="1:6">
      <c r="A171" s="4">
        <v>45980.660516979202</v>
      </c>
      <c r="B171" s="1">
        <v>667</v>
      </c>
      <c r="C171" s="1">
        <v>522.87</v>
      </c>
      <c r="D171" s="1">
        <v>5.1619999999999999</v>
      </c>
      <c r="E171" s="1">
        <v>5.1749999999999998</v>
      </c>
      <c r="F171" s="1">
        <v>21.51</v>
      </c>
    </row>
    <row r="172" spans="1:6">
      <c r="A172" s="4">
        <v>45980.660615983797</v>
      </c>
      <c r="B172" s="1">
        <v>221</v>
      </c>
      <c r="C172" s="1">
        <v>531.41999999999996</v>
      </c>
      <c r="D172" s="1">
        <v>5.0609999999999999</v>
      </c>
      <c r="E172" s="1">
        <v>5.0739999999999998</v>
      </c>
      <c r="F172" s="1">
        <v>21.51</v>
      </c>
    </row>
    <row r="173" spans="1:6">
      <c r="A173" s="4">
        <v>45980.660735161997</v>
      </c>
      <c r="B173" s="1">
        <v>518</v>
      </c>
      <c r="C173" s="1">
        <v>541.72</v>
      </c>
      <c r="D173" s="1">
        <v>4.9589999999999996</v>
      </c>
      <c r="E173" s="1">
        <v>4.9550000000000001</v>
      </c>
      <c r="F173" s="1">
        <v>21.51</v>
      </c>
    </row>
    <row r="174" spans="1:6">
      <c r="A174" s="4">
        <v>45980.660842453697</v>
      </c>
      <c r="B174" s="1">
        <v>788</v>
      </c>
      <c r="C174" s="1">
        <v>550.99</v>
      </c>
      <c r="D174" s="1">
        <v>4.8479999999999999</v>
      </c>
      <c r="E174" s="1">
        <v>4.8499999999999996</v>
      </c>
      <c r="F174" s="1">
        <v>21.51</v>
      </c>
    </row>
    <row r="175" spans="1:6">
      <c r="A175" s="4">
        <v>45980.660959953697</v>
      </c>
      <c r="B175" s="1">
        <v>940</v>
      </c>
      <c r="C175" s="1">
        <v>561.14</v>
      </c>
      <c r="D175" s="1">
        <v>4.7409999999999997</v>
      </c>
      <c r="E175" s="1">
        <v>4.7380000000000004</v>
      </c>
      <c r="F175" s="1">
        <v>21.51</v>
      </c>
    </row>
    <row r="176" spans="1:6">
      <c r="A176" s="4">
        <v>45980.661067847199</v>
      </c>
      <c r="B176" s="1">
        <v>262</v>
      </c>
      <c r="C176" s="1">
        <v>570.47</v>
      </c>
      <c r="D176" s="1">
        <v>4.6379999999999999</v>
      </c>
      <c r="E176" s="1">
        <v>4.6379999999999999</v>
      </c>
      <c r="F176" s="1">
        <v>21.51</v>
      </c>
    </row>
    <row r="177" spans="1:6">
      <c r="A177" s="4">
        <v>45980.6611861458</v>
      </c>
      <c r="B177" s="1">
        <v>483</v>
      </c>
      <c r="C177" s="1">
        <v>580.69000000000005</v>
      </c>
      <c r="D177" s="1">
        <v>4.5250000000000004</v>
      </c>
      <c r="E177" s="1">
        <v>-99999</v>
      </c>
      <c r="F177" s="1">
        <v>21.51</v>
      </c>
    </row>
    <row r="178" spans="1:6">
      <c r="A178" s="4"/>
    </row>
    <row r="179" spans="1:6">
      <c r="A179" s="4"/>
    </row>
    <row r="180" spans="1:6">
      <c r="A180" s="4"/>
    </row>
    <row r="181" spans="1:6">
      <c r="A181" s="4"/>
    </row>
    <row r="182" spans="1:6">
      <c r="A182" s="4"/>
    </row>
    <row r="183" spans="1:6">
      <c r="A183" s="4"/>
    </row>
    <row r="184" spans="1:6">
      <c r="A184" s="4"/>
    </row>
    <row r="185" spans="1:6">
      <c r="A185" s="4"/>
    </row>
    <row r="186" spans="1:6">
      <c r="A186" s="4"/>
    </row>
    <row r="187" spans="1:6">
      <c r="A187" s="4"/>
    </row>
    <row r="188" spans="1:6">
      <c r="A188" s="4"/>
    </row>
    <row r="189" spans="1:6">
      <c r="A189" s="4"/>
    </row>
    <row r="190" spans="1:6">
      <c r="A190" s="4"/>
    </row>
    <row r="191" spans="1:6">
      <c r="A191" s="4"/>
    </row>
    <row r="192" spans="1:6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01A4B2-B156-4B4F-AC27-E2180F578F01}"/>
</file>

<file path=customXml/itemProps2.xml><?xml version="1.0" encoding="utf-8"?>
<ds:datastoreItem xmlns:ds="http://schemas.openxmlformats.org/officeDocument/2006/customXml" ds:itemID="{6E42B476-12EB-44D8-B280-B2A3A6B1A371}"/>
</file>

<file path=customXml/itemProps3.xml><?xml version="1.0" encoding="utf-8"?>
<ds:datastoreItem xmlns:ds="http://schemas.openxmlformats.org/officeDocument/2006/customXml" ds:itemID="{7BE237E1-F260-455B-AEDB-4A0788FD0E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 Weixler</dc:creator>
  <cp:keywords/>
  <dc:description/>
  <cp:lastModifiedBy>Garcia, Marci R</cp:lastModifiedBy>
  <cp:revision/>
  <dcterms:created xsi:type="dcterms:W3CDTF">2017-12-12T14:35:01Z</dcterms:created>
  <dcterms:modified xsi:type="dcterms:W3CDTF">2026-01-07T19:38:44Z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
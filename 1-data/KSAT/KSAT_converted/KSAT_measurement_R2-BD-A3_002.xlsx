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<sst xmlns="http://schemas.openxmlformats.org/spreadsheetml/2006/main" count="110" uniqueCount="101">
  <si>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</si>
  <si>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</si>
  <si>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</si>
  <si>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</si>
  <si>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</si>
  <si>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</si>
  <si>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</si>
  <si>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</si>
  <si>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</si>
  <si>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</si>
  <si>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</si>
  <si>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</si>
  <si>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KSAT_measurement_R2-BD-A3_002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</si>
  <si>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</si>
  <si>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</si>
  <si>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</si>
  <si>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</si>
  <si>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</si>
  <si>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</si>
  <si>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</si>
  <si>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</si>
  <si>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</si>
  <si>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</si>
  <si>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</si>
  <si>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</si>
  <si>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</si>
  <si>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</si>
  <si>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</si>
  <si>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</si>
  <si>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</si>
  <si>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</si>
  <si>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</si>
  <si>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</si>
  <si>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</si>
  <si>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</si>
  <si>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</si>
  <si>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</si>
  <si>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</si>
  <si>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</si>
  <si>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</si>
  <si>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</si>
  <si>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</si>
  <si>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</si>
  <si>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</si>
  <si>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</si>
  <si>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</si>
  <si>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</si>
  <si>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</si>
  <si>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</si>
  <si>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</si>
  <si>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</si>
  <si>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</si>
  <si>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</si>
  <si>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</si>
  <si>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</si>
  <si>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</si>
  <si>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</si>
  <si>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</si>
  <si>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</si>
  <si>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</si>
  <si>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</si>
  <si>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</si>
  <si>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</si>
  <si>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</si>
  <si>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</si>
  <si>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11/19/2025 3:40:59 PM</t>
  </si>
  <si>
    <t>Test duration</t>
  </si>
  <si>
    <t>00:00:03</t>
  </si>
  <si>
    <t>RESULT</t>
  </si>
  <si>
    <t>Use auto offset adjustment</t>
  </si>
  <si>
    <t>Max offset adjustment [cm]</t>
  </si>
  <si>
    <t>1</t>
  </si>
  <si>
    <t>Fitting Parameter a [cm]</t>
  </si>
  <si>
    <t>0.01</t>
  </si>
  <si>
    <t>coefficient a of the fitted exponential pressure head decrease function y = a * exp(-b*t)+c, where y is the pressure head in cm and t is time in s</t>
  </si>
  <si>
    <t>Fitting Parameter b [s-1]</t>
  </si>
  <si>
    <t>NaN</t>
  </si>
  <si>
    <t>coefficient b of the fitted exponential pressure head decrease function y = a * exp(-b*t)+c, where y is the pressure head in cm and t is time in s</t>
  </si>
  <si>
    <t>Fitting Parameter c [cm]</t>
  </si>
  <si>
    <t>0</t>
  </si>
  <si>
    <t>coefficient c of the fitted exponential pressure head decrease function y = a * exp(-b*t)+c, where y is the pressure head in cm and t is time in s</t>
  </si>
  <si>
    <t>Fitting Parameter r2 [-]</t>
  </si>
  <si>
    <t>0.9170</t>
  </si>
  <si>
    <t>coefficient of determination of the exponential pressure head decrease function that is fitted to the observed data</t>
  </si>
  <si>
    <t>Ks Total [cm/d]</t>
  </si>
  <si>
    <t>Saturated hydraulic conductivity [cm/d] of the entire system</t>
  </si>
  <si>
    <t>Ks Total [m/s]</t>
  </si>
  <si>
    <t>Saturated hydraulic conductivity [m/s] of the entire system</t>
  </si>
  <si>
    <t>Ks Soil [cm/d]</t>
  </si>
  <si>
    <t>Saturated hydraulic conductivity [cm/d] of the soil sample itself</t>
  </si>
  <si>
    <t>Ks Soil [m/s]</t>
  </si>
  <si>
    <t>Saturated hydraulic conductivity [m/s] of the soil sample itself</t>
  </si>
  <si>
    <t>Saturated hydraulic conductivity [cm/d] of the soil sample  normalized to 10 °C mean field temperature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</si>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</sst>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3" sqref="A3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76</v>
      </c>
      <c r="C47" t="s">
        <v>85</v>
      </c>
    </row>
    <row r="48" spans="1:3" x14ac:dyDescent="0.2">
      <c r="A48" t="s">
        <v>86</v>
      </c>
      <c r="B48" s="3" t="s">
        <v>76</v>
      </c>
      <c r="C48" s="3" t="s">
        <v>87</v>
      </c>
    </row>
    <row r="49" spans="1:6" x14ac:dyDescent="0.2">
      <c r="A49" t="s">
        <v>88</v>
      </c>
      <c r="B49" t="s">
        <v>76</v>
      </c>
      <c r="C49" t="s">
        <v>89</v>
      </c>
    </row>
    <row r="50" spans="1:6" x14ac:dyDescent="0.2">
      <c r="A50" t="s">
        <v>90</v>
      </c>
      <c r="B50" s="3" t="s">
        <v>76</v>
      </c>
      <c r="C50" s="3" t="s">
        <v>91</v>
      </c>
    </row>
    <row r="51" spans="1:6" x14ac:dyDescent="0.2">
      <c r="A51" t="str">
        <f>CONCATENATE("Ks Soil normalized at ",B32," °C [cm/d]")</f>
        <v>Ks Soil normalized at 20 °C [cm/d]</v>
      </c>
      <c r="B51" t="s">
        <v>76</v>
      </c>
      <c r="C51" t="s">
        <v>92</v>
      </c>
    </row>
    <row r="52" spans="1:6" x14ac:dyDescent="0.2">
      <c r="A52" t="str">
        <f>CONCATENATE("Ks Soil normalized at ",B32," °C [m/s]")</f>
        <v>Ks Soil normalized at 20 °C [m/s]</v>
      </c>
      <c r="B52" s="3" t="s">
        <v>76</v>
      </c>
      <c r="C52" s="3" t="s">
        <v>93</v>
      </c>
    </row>
    <row r="54" spans="1:6" x14ac:dyDescent="0.2">
      <c r="A54" t="s">
        <v>94</v>
      </c>
    </row>
    <row r="55" spans="1:6" x14ac:dyDescent="0.2">
      <c r="A55" s="1" t="s">
        <v>95</v>
      </c>
      <c r="B55" t="s">
        <v>96</v>
      </c>
      <c r="C55" t="s">
        <v>97</v>
      </c>
      <c r="D55" t="s">
        <v>98</v>
      </c>
      <c r="E55" t="s">
        <v>99</v>
      </c>
      <c r="F55" t="s">
        <v>100</v>
      </c>
    </row>
    <row r="56" spans="1:6" x14ac:dyDescent="0.2">
      <c r="A56" s="4">
        <v>45980.653468472199</v>
      </c>
      <c r="B56">
        <v>676</v>
      </c>
      <c r="C56">
        <v>0</v>
      </c>
      <c r="D56">
        <v>8.9999999999999993E-3</v>
      </c>
      <c r="E56" t="s">
        <v>76</v>
      </c>
      <c r="F56">
        <v>21.55</v>
      </c>
    </row>
    <row r="57" spans="1:6" x14ac:dyDescent="0.2">
      <c r="A57" s="4">
        <v>45980.653491851903</v>
      </c>
      <c r="B57">
        <v>696</v>
      </c>
      <c r="C57">
        <v>2.02</v>
      </c>
      <c r="D57">
        <v>-0.114</v>
      </c>
      <c r="E57" t="s">
        <v>76</v>
      </c>
      <c r="F57">
        <v>21.55</v>
      </c>
    </row>
    <row r="58" spans="1:6" x14ac:dyDescent="0.2">
      <c r="A58" s="4">
        <v>45980.653503888898</v>
      </c>
      <c r="B58">
        <v>736</v>
      </c>
      <c r="C58">
        <v>3.06</v>
      </c>
      <c r="D58">
        <v>-0.13200000000000001</v>
      </c>
      <c r="E58" t="s">
        <v>76</v>
      </c>
      <c r="F58">
        <v>21.55</v>
      </c>
    </row>
    <row r="59" spans="1:6" x14ac:dyDescent="0.2">
      <c r="A59" s="4"/>
    </row>
    <row r="60" spans="1:6" x14ac:dyDescent="0.2">
      <c r="A60" s="4"/>
    </row>
    <row r="61" spans="1:6" x14ac:dyDescent="0.2">
      <c r="A61" s="4"/>
    </row>
    <row r="62" spans="1:6" x14ac:dyDescent="0.2">
      <c r="A62" s="4"/>
    </row>
    <row r="63" spans="1:6" x14ac:dyDescent="0.2">
      <c r="A63" s="4"/>
    </row>
    <row r="64" spans="1:6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28FA2D-B70D-4547-B525-F3BE3976BE35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6BBC1E60-2AE3-4A44-8B1F-A065F79277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1494B0-7577-4901-A271-FA07B982F5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
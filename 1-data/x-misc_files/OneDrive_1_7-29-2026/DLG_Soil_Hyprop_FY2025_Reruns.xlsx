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mc:AlternateContent xmlns:mc="http://schemas.openxmlformats.org/markup-compatibility/2006">
    <mc:Choice Requires="x15">
      <x15ac:absPath xmlns:x15ac="http://schemas.microsoft.com/office/spreadsheetml/2010/11/ac" url="C:\Users\garc286\Desktop\"/>
    </mc:Choice>
  </mc:AlternateContent>
  <xr:revisionPtr revIDLastSave="5" documentId="8_{3D0E83A1-8566-44B6-9EB6-E21A73267E14}" xr6:coauthVersionLast="47" xr6:coauthVersionMax="47" xr10:uidLastSave="{4423FAFE-F92E-429D-9691-11E53756372B}"/>
  <bookViews>
    <workbookView xWindow="29460" yWindow="3060" windowWidth="23715" windowHeight="17835" activeTab="1" xr2:uid="{4C581A1A-9404-4A19-BC41-EF9C5C397D0F}"/>
  </bookViews>
  <sheets>
    <sheet name="raw data" sheetId="2" r:id="rId1"/>
    <sheet name="calculations" sheetId="3" r:id="rId2"/>
    <sheet name="weird WP4C data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D7" i="1" l="1"/>
  <c r="AB7" i="1"/>
  <c r="AA7" i="1"/>
  <c r="AB6" i="1"/>
  <c r="AD6" i="1" s="1"/>
  <c r="AA6" i="1"/>
  <c r="V3" i="1"/>
  <c r="S3" i="1"/>
  <c r="Q3" i="1"/>
  <c r="N3" i="1"/>
  <c r="G3" i="1"/>
  <c r="V2" i="1"/>
  <c r="S2" i="1"/>
  <c r="Q2" i="1"/>
  <c r="N2" i="1"/>
  <c r="G2" i="1"/>
  <c r="U3" i="2"/>
  <c r="R3" i="2"/>
  <c r="P3" i="2"/>
  <c r="M3" i="2"/>
  <c r="F3" i="2"/>
  <c r="U2" i="2"/>
  <c r="R2" i="2"/>
  <c r="P2" i="2"/>
  <c r="M2" i="2"/>
  <c r="F2" i="2"/>
</calcChain>
</file>

<file path=xl/sharedStrings.xml><?xml version="1.0" encoding="utf-8"?>
<sst xmlns="http://schemas.openxmlformats.org/spreadsheetml/2006/main" count="121" uniqueCount="43">
  <si>
    <t>date</t>
  </si>
  <si>
    <t>Label ID</t>
  </si>
  <si>
    <t>Ring ID</t>
  </si>
  <si>
    <t>Ring weight (g)</t>
  </si>
  <si>
    <t>minus top &amp; bottom soil + ring weight  (g)</t>
  </si>
  <si>
    <t>wet soil minus ring (g)</t>
  </si>
  <si>
    <t>Moist Core soil minus WP4C (g)</t>
  </si>
  <si>
    <t>core Minus Ring Dry weight (g)</t>
  </si>
  <si>
    <t>Final Core Dry soil +WP4C weight (g)</t>
  </si>
  <si>
    <t>Hyprop ring #</t>
  </si>
  <si>
    <t>Hyprop ring adaptor weight  (g)</t>
  </si>
  <si>
    <t>top/bottom tare boat(g)</t>
  </si>
  <si>
    <t>top/bottom + boat soil wet weight (g)</t>
  </si>
  <si>
    <t>Final top/bottom soil wet wight (g)</t>
  </si>
  <si>
    <t>top/bottom soil  oven dry weight (g)</t>
  </si>
  <si>
    <t>Final top/bottom soil  oven dry weight (g)</t>
  </si>
  <si>
    <t>Full tare boat(g)</t>
  </si>
  <si>
    <t>Full + boat soil wet weight (g)</t>
  </si>
  <si>
    <t>Final full soil wet wight (g)</t>
  </si>
  <si>
    <t>Full soil  oven dry weight (g)</t>
  </si>
  <si>
    <t xml:space="preserve"> WP4C try number </t>
  </si>
  <si>
    <t>Tray Tare wieght (g)</t>
  </si>
  <si>
    <t>Moist soil + tray (g)</t>
  </si>
  <si>
    <t>Dry soil +tray (g)</t>
  </si>
  <si>
    <t>WP4C pressure (Mpa)</t>
  </si>
  <si>
    <t>Temp (c)</t>
  </si>
  <si>
    <t>DLG_F3_BD_A1_C</t>
  </si>
  <si>
    <t>DLG_R1_BD_A3_B</t>
  </si>
  <si>
    <t>order</t>
  </si>
  <si>
    <t>Saturated soil + ring (excess soil removed from top and bottom) weight  (g)</t>
  </si>
  <si>
    <t>Hyprop adaptor #</t>
  </si>
  <si>
    <t>Hyprop adaptor weight  (g)</t>
  </si>
  <si>
    <t>Ring + adaptor weight (g)</t>
  </si>
  <si>
    <t>starting wieght (g) of ring + adaptor + saturated soil</t>
  </si>
  <si>
    <t xml:space="preserve">WP4C tray number </t>
  </si>
  <si>
    <t>WP4C gravimetric water content (g/g)</t>
  </si>
  <si>
    <t>Ave gravimetric water content post hyprop run (g/g)</t>
  </si>
  <si>
    <t>total OD soil from wp4c (g)</t>
  </si>
  <si>
    <t>Post hyprop run moist soil out of ring (minus wp4c) weight (g)</t>
  </si>
  <si>
    <t>post hyprop soil dry corrected and wp4c soil added (g)</t>
  </si>
  <si>
    <t>bulk density (g/cm3)</t>
  </si>
  <si>
    <t>Notes:</t>
  </si>
  <si>
    <t>looked kinda werid ran 2x both read same thing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</si>
</sst>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rgb="FFFBE2D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3" fillId="0" borderId="0" xfId="0" applyFont="1"/>
    <xf numFmtId="0" fontId="4" fillId="3" borderId="0" xfId="0" applyFont="1" applyFill="1"/>
    <xf numFmtId="0" fontId="5" fillId="4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FEAAA-C95C-4663-BC0A-62D24A178DDD}">
  <dimension ref="A1:AM3"/>
  <sheetViews>
    <sheetView workbookViewId="0"/>
  </sheetViews>
  <sheetFormatPr defaultRowHeight="15"/>
  <cols>
    <col min="1" max="1" width="9.42578125" bestFit="1" customWidth="1"/>
    <col min="2" max="2" width="23.7109375" customWidth="1"/>
  </cols>
  <sheetData>
    <row r="1" spans="1:39" ht="105">
      <c r="A1" s="9" t="s">
        <v>0</v>
      </c>
      <c r="B1" s="9" t="s">
        <v>1</v>
      </c>
      <c r="C1" s="9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1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19</v>
      </c>
      <c r="V1" s="10" t="s">
        <v>20</v>
      </c>
      <c r="W1" s="10" t="s">
        <v>21</v>
      </c>
      <c r="X1" s="10" t="s">
        <v>22</v>
      </c>
      <c r="Y1" s="10" t="s">
        <v>23</v>
      </c>
      <c r="Z1" s="10" t="s">
        <v>24</v>
      </c>
      <c r="AA1" s="10" t="s">
        <v>25</v>
      </c>
      <c r="AB1" s="10" t="s">
        <v>20</v>
      </c>
      <c r="AC1" s="10" t="s">
        <v>21</v>
      </c>
      <c r="AD1" s="10" t="s">
        <v>22</v>
      </c>
      <c r="AE1" s="10" t="s">
        <v>23</v>
      </c>
      <c r="AF1" s="10" t="s">
        <v>24</v>
      </c>
      <c r="AG1" s="10" t="s">
        <v>25</v>
      </c>
      <c r="AH1" s="10" t="s">
        <v>20</v>
      </c>
      <c r="AI1" s="10" t="s">
        <v>21</v>
      </c>
      <c r="AJ1" s="10" t="s">
        <v>22</v>
      </c>
      <c r="AK1" s="10" t="s">
        <v>23</v>
      </c>
      <c r="AL1" s="10" t="s">
        <v>24</v>
      </c>
      <c r="AM1" s="10" t="s">
        <v>25</v>
      </c>
    </row>
    <row r="2" spans="1:39">
      <c r="A2" s="12">
        <v>46188</v>
      </c>
      <c r="B2" s="13" t="s">
        <v>26</v>
      </c>
      <c r="C2" s="13">
        <v>1354</v>
      </c>
      <c r="D2" s="13">
        <v>95.5</v>
      </c>
      <c r="E2" s="13">
        <v>241.08</v>
      </c>
      <c r="F2" s="13">
        <f>E2-D2</f>
        <v>145.58000000000001</v>
      </c>
      <c r="G2" s="13"/>
      <c r="H2" s="13"/>
      <c r="I2" s="13"/>
      <c r="J2" s="13">
        <v>3</v>
      </c>
      <c r="K2" s="13">
        <v>194.69</v>
      </c>
      <c r="L2" s="13">
        <v>4.0599999999999996</v>
      </c>
      <c r="M2" s="13">
        <f>L2+N2</f>
        <v>18.91</v>
      </c>
      <c r="N2" s="13">
        <v>14.85</v>
      </c>
      <c r="O2" s="13">
        <v>12.74</v>
      </c>
      <c r="P2" s="13">
        <f>O2-L2</f>
        <v>8.68</v>
      </c>
      <c r="Q2" s="13">
        <v>4.09</v>
      </c>
      <c r="R2" s="13">
        <f>Q2+S2</f>
        <v>98.55</v>
      </c>
      <c r="S2" s="13">
        <v>94.46</v>
      </c>
      <c r="T2" s="13">
        <v>76.02</v>
      </c>
      <c r="U2" s="14">
        <f>T2-Q2</f>
        <v>71.929999999999993</v>
      </c>
      <c r="V2" s="14">
        <v>10</v>
      </c>
      <c r="W2" s="14">
        <v>24.603300000000001</v>
      </c>
      <c r="X2" s="14">
        <v>27.876200000000001</v>
      </c>
      <c r="Y2" s="14">
        <v>27.1615</v>
      </c>
      <c r="Z2" s="14">
        <v>-0.73</v>
      </c>
      <c r="AA2" s="14">
        <v>24.9</v>
      </c>
      <c r="AB2" s="14">
        <v>16</v>
      </c>
      <c r="AC2" s="14">
        <v>24.8752</v>
      </c>
      <c r="AD2" s="14">
        <v>27.151499999999999</v>
      </c>
      <c r="AE2" s="14">
        <v>26.751100000000001</v>
      </c>
      <c r="AF2" s="14">
        <v>-2.67</v>
      </c>
      <c r="AG2" s="14">
        <v>24.9</v>
      </c>
      <c r="AH2" s="14">
        <v>8</v>
      </c>
      <c r="AI2" s="14">
        <v>24.725000000000001</v>
      </c>
      <c r="AJ2" s="14">
        <v>27.186499999999999</v>
      </c>
      <c r="AK2" s="14">
        <v>26.761099999999999</v>
      </c>
      <c r="AL2" s="14">
        <v>-2.98</v>
      </c>
      <c r="AM2" s="14">
        <v>24.9</v>
      </c>
    </row>
    <row r="3" spans="1:39">
      <c r="A3" s="12">
        <v>46188</v>
      </c>
      <c r="B3" s="13" t="s">
        <v>27</v>
      </c>
      <c r="C3" s="13">
        <v>1316</v>
      </c>
      <c r="D3" s="13">
        <v>95.5</v>
      </c>
      <c r="E3" s="13">
        <v>239.01</v>
      </c>
      <c r="F3" s="13">
        <f>E3-D3</f>
        <v>143.51</v>
      </c>
      <c r="G3" s="13"/>
      <c r="H3" s="13"/>
      <c r="I3" s="13"/>
      <c r="J3" s="13">
        <v>5</v>
      </c>
      <c r="K3" s="13">
        <v>193.35</v>
      </c>
      <c r="L3" s="13">
        <v>4.13</v>
      </c>
      <c r="M3" s="13">
        <f>L3+N3</f>
        <v>37.150000000000006</v>
      </c>
      <c r="N3" s="13">
        <v>33.020000000000003</v>
      </c>
      <c r="O3" s="13">
        <v>27.24</v>
      </c>
      <c r="P3" s="13">
        <f>O3-L3</f>
        <v>23.11</v>
      </c>
      <c r="Q3" s="13">
        <v>4.13</v>
      </c>
      <c r="R3" s="13">
        <f>Q3+S3</f>
        <v>78.149999999999991</v>
      </c>
      <c r="S3" s="13">
        <v>74.02</v>
      </c>
      <c r="T3" s="13">
        <v>59.113999999999997</v>
      </c>
      <c r="U3" s="14">
        <f>T3-Q3</f>
        <v>54.983999999999995</v>
      </c>
      <c r="V3" s="14">
        <v>13</v>
      </c>
      <c r="W3" s="14">
        <v>23.4983</v>
      </c>
      <c r="X3" s="14">
        <v>26.007400000000001</v>
      </c>
      <c r="Y3" s="14">
        <v>25.5932</v>
      </c>
      <c r="Z3" s="14">
        <v>-5.15</v>
      </c>
      <c r="AA3" s="14">
        <v>24.9</v>
      </c>
      <c r="AB3" s="14">
        <v>22</v>
      </c>
      <c r="AC3" s="14">
        <v>24.575199999999999</v>
      </c>
      <c r="AD3" s="14">
        <v>27.915800000000001</v>
      </c>
      <c r="AE3" s="14">
        <v>27.3367</v>
      </c>
      <c r="AF3" s="14">
        <v>-4.3600000000000003</v>
      </c>
      <c r="AG3" s="14">
        <v>24.9</v>
      </c>
      <c r="AH3" s="14">
        <v>27</v>
      </c>
      <c r="AI3" s="14">
        <v>24.6021</v>
      </c>
      <c r="AJ3" s="14">
        <v>27.750299999999999</v>
      </c>
      <c r="AK3" s="14">
        <v>27.116900000000001</v>
      </c>
      <c r="AL3" s="14">
        <v>-2.21</v>
      </c>
      <c r="AM3" s="14">
        <v>24.9</v>
      </c>
    </row>
  </sheetData>
  <conditionalFormatting sqref="B1:B3">
    <cfRule type="duplicateValues" dxfId="5" priority="1"/>
    <cfRule type="duplicateValues" dxfId="4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594C1-4FC4-471C-BB50-E8404D5B134D}">
  <dimension ref="A1:AM13"/>
  <sheetViews>
    <sheetView workbookViewId="0"/>
  </sheetViews>
  <sheetFormatPr defaultRowHeight="15"/>
  <cols>
    <col min="2" max="2" width="15.85546875" bestFit="1" customWidth="1"/>
    <col min="34" max="34" width="13.140625" customWidth="1"/>
  </cols>
  <sheetData>
    <row r="1" spans="1:39" ht="165">
      <c r="A1" s="1" t="s">
        <v>28</v>
      </c>
      <c r="B1" s="1" t="s">
        <v>1</v>
      </c>
      <c r="C1" s="1" t="s">
        <v>2</v>
      </c>
      <c r="D1" s="2" t="s">
        <v>3</v>
      </c>
      <c r="E1" s="2" t="s">
        <v>29</v>
      </c>
      <c r="F1" s="2" t="s">
        <v>30</v>
      </c>
      <c r="G1" s="2" t="s">
        <v>31</v>
      </c>
      <c r="H1" s="3" t="s">
        <v>32</v>
      </c>
      <c r="I1" s="3" t="s">
        <v>33</v>
      </c>
      <c r="J1" s="2" t="s">
        <v>34</v>
      </c>
      <c r="K1" s="2" t="s">
        <v>21</v>
      </c>
      <c r="L1" s="2" t="s">
        <v>22</v>
      </c>
      <c r="M1" s="2" t="s">
        <v>23</v>
      </c>
      <c r="N1" s="2" t="s">
        <v>24</v>
      </c>
      <c r="O1" s="2" t="s">
        <v>25</v>
      </c>
      <c r="P1" s="3" t="s">
        <v>35</v>
      </c>
      <c r="Q1" s="2" t="s">
        <v>34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3" t="s">
        <v>35</v>
      </c>
      <c r="X1" s="2" t="s">
        <v>34</v>
      </c>
      <c r="Y1" s="2" t="s">
        <v>21</v>
      </c>
      <c r="Z1" s="2" t="s">
        <v>22</v>
      </c>
      <c r="AA1" s="2" t="s">
        <v>23</v>
      </c>
      <c r="AB1" s="2" t="s">
        <v>24</v>
      </c>
      <c r="AC1" s="2" t="s">
        <v>25</v>
      </c>
      <c r="AD1" s="3" t="s">
        <v>35</v>
      </c>
      <c r="AE1" s="3" t="s">
        <v>36</v>
      </c>
      <c r="AF1" s="3" t="s">
        <v>37</v>
      </c>
      <c r="AG1" s="2" t="s">
        <v>38</v>
      </c>
      <c r="AH1" s="3" t="s">
        <v>39</v>
      </c>
      <c r="AI1" s="3" t="s">
        <v>40</v>
      </c>
      <c r="AJ1" s="4" t="s">
        <v>41</v>
      </c>
      <c r="AK1" s="1"/>
      <c r="AL1" s="1"/>
      <c r="AM1" s="5"/>
    </row>
    <row r="2" spans="1:39">
      <c r="B2" s="6" t="s">
        <v>26</v>
      </c>
      <c r="C2" s="6">
        <v>1354</v>
      </c>
      <c r="D2" s="6">
        <v>95.5</v>
      </c>
      <c r="E2" s="6">
        <v>241.08</v>
      </c>
      <c r="F2" s="6">
        <v>3</v>
      </c>
      <c r="G2" s="6">
        <v>194.69</v>
      </c>
      <c r="H2" s="7">
        <v>290.19</v>
      </c>
      <c r="I2" s="8">
        <v>435.77</v>
      </c>
      <c r="J2" s="6">
        <v>10</v>
      </c>
      <c r="K2" s="6">
        <v>24.603300000000001</v>
      </c>
      <c r="L2" s="6">
        <v>27.876200000000001</v>
      </c>
      <c r="M2" s="6">
        <v>27.1615</v>
      </c>
      <c r="N2" s="6">
        <v>-0.73</v>
      </c>
      <c r="O2" s="6">
        <v>24.9</v>
      </c>
      <c r="P2" s="8">
        <v>0.279376124</v>
      </c>
      <c r="Q2" s="6">
        <v>16</v>
      </c>
      <c r="R2" s="6">
        <v>24.8752</v>
      </c>
      <c r="S2" s="6">
        <v>27.151499999999999</v>
      </c>
      <c r="T2" s="6">
        <v>26.751100000000001</v>
      </c>
      <c r="U2" s="6">
        <v>-2.67</v>
      </c>
      <c r="V2" s="6">
        <v>24.9</v>
      </c>
      <c r="W2" s="8">
        <v>0.21344421299999999</v>
      </c>
      <c r="X2" s="6">
        <v>8</v>
      </c>
      <c r="Y2" s="6">
        <v>24.725000000000001</v>
      </c>
      <c r="Z2" s="6">
        <v>27.186499999999999</v>
      </c>
      <c r="AA2" s="6">
        <v>26.761099999999999</v>
      </c>
      <c r="AB2" s="6">
        <v>-2.98</v>
      </c>
      <c r="AC2" s="6">
        <v>24.9</v>
      </c>
      <c r="AD2" s="8">
        <v>0.20892883500000001</v>
      </c>
      <c r="AE2" s="8">
        <v>0.233916391</v>
      </c>
      <c r="AF2" s="8">
        <v>15.350199999999999</v>
      </c>
      <c r="AG2" s="6">
        <v>98.55</v>
      </c>
      <c r="AH2" s="7">
        <v>90.847739709999999</v>
      </c>
      <c r="AI2" s="8">
        <v>0.36339095900000001</v>
      </c>
    </row>
    <row r="3" spans="1:39">
      <c r="B3" s="6" t="s">
        <v>27</v>
      </c>
      <c r="C3" s="6">
        <v>1316</v>
      </c>
      <c r="D3" s="6">
        <v>95.5</v>
      </c>
      <c r="E3" s="6">
        <v>239.01</v>
      </c>
      <c r="F3" s="6">
        <v>5</v>
      </c>
      <c r="G3" s="6">
        <v>193.35</v>
      </c>
      <c r="H3" s="7">
        <v>288.85000000000002</v>
      </c>
      <c r="I3" s="8">
        <v>432.36</v>
      </c>
      <c r="J3" s="6">
        <v>13</v>
      </c>
      <c r="K3" s="6">
        <v>23.4983</v>
      </c>
      <c r="L3" s="6">
        <v>26.007400000000001</v>
      </c>
      <c r="M3" s="6">
        <v>25.5932</v>
      </c>
      <c r="N3" s="6">
        <v>-5.15</v>
      </c>
      <c r="O3" s="6">
        <v>24.9</v>
      </c>
      <c r="P3" s="8">
        <v>0.197718268</v>
      </c>
      <c r="Q3" s="6">
        <v>22</v>
      </c>
      <c r="R3" s="6">
        <v>24.575199999999999</v>
      </c>
      <c r="S3" s="6">
        <v>27.915800000000001</v>
      </c>
      <c r="T3" s="6">
        <v>27.3367</v>
      </c>
      <c r="U3" s="6">
        <v>-4.3600000000000003</v>
      </c>
      <c r="V3" s="6">
        <v>24.9</v>
      </c>
      <c r="W3" s="8">
        <v>0.20970487099999999</v>
      </c>
      <c r="X3" s="6">
        <v>27</v>
      </c>
      <c r="Y3" s="6">
        <v>24.6021</v>
      </c>
      <c r="Z3" s="6">
        <v>27.750299999999999</v>
      </c>
      <c r="AA3" s="6">
        <v>27.116900000000001</v>
      </c>
      <c r="AB3" s="6">
        <v>-2.21</v>
      </c>
      <c r="AC3" s="6">
        <v>24.9</v>
      </c>
      <c r="AD3" s="8">
        <v>0.25186893599999999</v>
      </c>
      <c r="AE3" s="8">
        <v>0.219764025</v>
      </c>
      <c r="AF3" s="8">
        <v>16.7212</v>
      </c>
      <c r="AG3" s="6">
        <v>78.150000000000006</v>
      </c>
      <c r="AH3" s="7">
        <v>77.696641459999995</v>
      </c>
      <c r="AI3" s="8">
        <v>0.31078656599999999</v>
      </c>
    </row>
    <row r="11" spans="1:39">
      <c r="A11" s="9"/>
      <c r="B11" s="9"/>
      <c r="C11" s="9"/>
      <c r="D11" s="10"/>
      <c r="E11" s="10"/>
      <c r="F11" s="10"/>
      <c r="G11" s="10"/>
      <c r="H11" s="10"/>
      <c r="I11" s="10"/>
      <c r="J11" s="11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</row>
    <row r="12" spans="1:39">
      <c r="A12" s="12"/>
      <c r="F12" s="13"/>
      <c r="G12" s="13"/>
      <c r="H12" s="13"/>
      <c r="I12" s="13"/>
      <c r="L12" s="13"/>
      <c r="M12" s="13"/>
      <c r="N12" s="13"/>
      <c r="O12" s="13"/>
      <c r="P12" s="13"/>
      <c r="Q12" s="13"/>
      <c r="S12" s="13"/>
      <c r="T12" s="13"/>
      <c r="U12" s="14"/>
    </row>
    <row r="13" spans="1:39">
      <c r="A13" s="12"/>
      <c r="F13" s="13"/>
      <c r="G13" s="13"/>
      <c r="H13" s="13"/>
      <c r="I13" s="13"/>
      <c r="L13" s="13"/>
      <c r="M13" s="13"/>
      <c r="N13" s="13"/>
      <c r="O13" s="13"/>
      <c r="P13" s="13"/>
      <c r="Q13" s="13"/>
      <c r="S13" s="13"/>
      <c r="T13" s="13"/>
      <c r="U13" s="14"/>
    </row>
  </sheetData>
  <conditionalFormatting sqref="B11">
    <cfRule type="duplicateValues" dxfId="3" priority="1"/>
    <cfRule type="duplicateValues" dxfId="2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8E9F6-E887-47C8-B098-DF7993CA1E75}">
  <dimension ref="A1:AO7"/>
  <sheetViews>
    <sheetView workbookViewId="0">
      <selection activeCell="B7" sqref="B7"/>
    </sheetView>
  </sheetViews>
  <sheetFormatPr defaultRowHeight="15"/>
  <cols>
    <col min="2" max="2" width="10.85546875" bestFit="1" customWidth="1"/>
    <col min="3" max="3" width="15.42578125" customWidth="1"/>
    <col min="4" max="7" width="9.28515625" bestFit="1" customWidth="1"/>
    <col min="11" max="19" width="9.28515625" bestFit="1" customWidth="1"/>
  </cols>
  <sheetData>
    <row r="1" spans="1:41" s="9" customFormat="1" ht="105">
      <c r="B1" s="9" t="s">
        <v>0</v>
      </c>
      <c r="C1" s="9" t="s">
        <v>1</v>
      </c>
      <c r="D1" s="9" t="s">
        <v>2</v>
      </c>
      <c r="E1" s="10" t="s">
        <v>3</v>
      </c>
      <c r="F1" s="10" t="s">
        <v>4</v>
      </c>
      <c r="G1" s="10" t="s">
        <v>5</v>
      </c>
      <c r="H1" s="10" t="s">
        <v>6</v>
      </c>
      <c r="I1" s="10" t="s">
        <v>7</v>
      </c>
      <c r="J1" s="10" t="s">
        <v>8</v>
      </c>
      <c r="K1" s="11" t="s">
        <v>9</v>
      </c>
      <c r="L1" s="10" t="s">
        <v>10</v>
      </c>
      <c r="M1" s="10" t="s">
        <v>11</v>
      </c>
      <c r="N1" s="10" t="s">
        <v>12</v>
      </c>
      <c r="O1" s="10" t="s">
        <v>13</v>
      </c>
      <c r="P1" s="10" t="s">
        <v>14</v>
      </c>
      <c r="Q1" s="10" t="s">
        <v>15</v>
      </c>
      <c r="R1" s="10" t="s">
        <v>16</v>
      </c>
      <c r="S1" s="10" t="s">
        <v>17</v>
      </c>
      <c r="T1" s="10" t="s">
        <v>18</v>
      </c>
      <c r="U1" s="10" t="s">
        <v>19</v>
      </c>
      <c r="V1" s="10" t="s">
        <v>19</v>
      </c>
      <c r="W1" s="10" t="s">
        <v>20</v>
      </c>
      <c r="X1" s="10" t="s">
        <v>21</v>
      </c>
      <c r="Y1" s="10" t="s">
        <v>22</v>
      </c>
      <c r="Z1" s="10" t="s">
        <v>23</v>
      </c>
      <c r="AA1" s="10" t="s">
        <v>24</v>
      </c>
      <c r="AB1" s="10" t="s">
        <v>25</v>
      </c>
      <c r="AC1" s="10" t="s">
        <v>20</v>
      </c>
      <c r="AD1" s="10" t="s">
        <v>21</v>
      </c>
      <c r="AE1" s="10" t="s">
        <v>22</v>
      </c>
      <c r="AF1" s="10" t="s">
        <v>23</v>
      </c>
      <c r="AG1" s="10" t="s">
        <v>24</v>
      </c>
      <c r="AH1" s="10" t="s">
        <v>25</v>
      </c>
      <c r="AI1" s="10" t="s">
        <v>20</v>
      </c>
      <c r="AJ1" s="10" t="s">
        <v>21</v>
      </c>
      <c r="AK1" s="10" t="s">
        <v>22</v>
      </c>
      <c r="AL1" s="10" t="s">
        <v>23</v>
      </c>
      <c r="AM1" s="10" t="s">
        <v>24</v>
      </c>
      <c r="AN1" s="10" t="s">
        <v>25</v>
      </c>
    </row>
    <row r="2" spans="1:41">
      <c r="A2" s="14"/>
      <c r="B2" s="12">
        <v>46188</v>
      </c>
      <c r="C2" s="13" t="s">
        <v>26</v>
      </c>
      <c r="D2" s="13">
        <v>1354</v>
      </c>
      <c r="E2" s="13">
        <v>95.5</v>
      </c>
      <c r="F2" s="13">
        <v>241.08</v>
      </c>
      <c r="G2" s="13">
        <f t="shared" ref="G2:G3" si="0">F2-E2</f>
        <v>145.58000000000001</v>
      </c>
      <c r="H2" s="13"/>
      <c r="I2" s="13"/>
      <c r="J2" s="13"/>
      <c r="K2" s="13">
        <v>3</v>
      </c>
      <c r="L2" s="13">
        <v>194.69</v>
      </c>
      <c r="M2" s="13">
        <v>4.0599999999999996</v>
      </c>
      <c r="N2" s="13">
        <f>M2+O2</f>
        <v>18.91</v>
      </c>
      <c r="O2" s="13">
        <v>14.85</v>
      </c>
      <c r="P2" s="13">
        <v>12.74</v>
      </c>
      <c r="Q2" s="13">
        <f>P2-M2</f>
        <v>8.68</v>
      </c>
      <c r="R2" s="13">
        <v>4.09</v>
      </c>
      <c r="S2" s="13">
        <f>R2+T2</f>
        <v>98.55</v>
      </c>
      <c r="T2" s="13">
        <v>94.46</v>
      </c>
      <c r="U2" s="13">
        <v>76.02</v>
      </c>
      <c r="V2" s="14">
        <f>U2-R2</f>
        <v>71.929999999999993</v>
      </c>
      <c r="W2" s="14">
        <v>13</v>
      </c>
      <c r="X2" s="14">
        <v>23.4984</v>
      </c>
      <c r="Y2" s="14">
        <v>26.223600000000001</v>
      </c>
      <c r="Z2" s="14">
        <v>26.212900000000001</v>
      </c>
      <c r="AA2" s="14">
        <v>-452.95</v>
      </c>
      <c r="AB2" s="14">
        <v>24.9</v>
      </c>
      <c r="AC2" s="14">
        <v>24</v>
      </c>
      <c r="AD2" s="14">
        <v>24.630099999999999</v>
      </c>
      <c r="AE2" s="14">
        <v>27.899699999999999</v>
      </c>
      <c r="AF2" s="14">
        <v>27.888400000000001</v>
      </c>
      <c r="AG2" s="14">
        <v>-375.93</v>
      </c>
      <c r="AH2" s="14">
        <v>24.9</v>
      </c>
      <c r="AI2" s="14">
        <v>21</v>
      </c>
      <c r="AJ2" s="14">
        <v>24.2272</v>
      </c>
      <c r="AK2" s="14">
        <v>27.1541</v>
      </c>
      <c r="AL2" s="14">
        <v>27.1432</v>
      </c>
      <c r="AM2" s="14">
        <v>-824</v>
      </c>
      <c r="AN2" s="14"/>
      <c r="AO2" t="s">
        <v>42</v>
      </c>
    </row>
    <row r="3" spans="1:41">
      <c r="A3" s="14"/>
      <c r="B3" s="12">
        <v>46188</v>
      </c>
      <c r="C3" s="13" t="s">
        <v>27</v>
      </c>
      <c r="D3" s="13">
        <v>1316</v>
      </c>
      <c r="E3" s="13">
        <v>95.5</v>
      </c>
      <c r="F3" s="13">
        <v>239.01</v>
      </c>
      <c r="G3" s="13">
        <f t="shared" si="0"/>
        <v>143.51</v>
      </c>
      <c r="H3" s="13"/>
      <c r="I3" s="13"/>
      <c r="J3" s="13"/>
      <c r="K3" s="13">
        <v>5</v>
      </c>
      <c r="L3" s="13">
        <v>193.35</v>
      </c>
      <c r="M3" s="13">
        <v>4.13</v>
      </c>
      <c r="N3" s="13">
        <f>M3+O3</f>
        <v>37.150000000000006</v>
      </c>
      <c r="O3" s="13">
        <v>33.020000000000003</v>
      </c>
      <c r="P3" s="13">
        <v>27.24</v>
      </c>
      <c r="Q3" s="13">
        <f>P3-M3</f>
        <v>23.11</v>
      </c>
      <c r="R3" s="13">
        <v>4.13</v>
      </c>
      <c r="S3" s="13">
        <f>R3+T3</f>
        <v>78.149999999999991</v>
      </c>
      <c r="T3" s="13">
        <v>74.02</v>
      </c>
      <c r="U3" s="13">
        <v>59.113999999999997</v>
      </c>
      <c r="V3" s="14">
        <f>U3-R3</f>
        <v>54.983999999999995</v>
      </c>
      <c r="W3" s="14">
        <v>2</v>
      </c>
      <c r="X3" s="14">
        <v>24.425899999999999</v>
      </c>
      <c r="Y3" s="14">
        <v>27.3094</v>
      </c>
      <c r="Z3" s="14">
        <v>26.736499999999999</v>
      </c>
      <c r="AA3" s="14">
        <v>-346.72</v>
      </c>
      <c r="AB3" s="14">
        <v>24.8</v>
      </c>
      <c r="AC3" s="14">
        <v>10</v>
      </c>
      <c r="AD3" s="14">
        <v>24.603999999999999</v>
      </c>
      <c r="AE3" s="14">
        <v>28.514600000000002</v>
      </c>
      <c r="AF3" s="14">
        <v>28.248100000000001</v>
      </c>
      <c r="AG3" s="14">
        <v>-339.55</v>
      </c>
      <c r="AH3" s="14">
        <v>24.9</v>
      </c>
      <c r="AI3" s="14">
        <v>26</v>
      </c>
      <c r="AJ3" s="14">
        <v>24.714500000000001</v>
      </c>
      <c r="AK3" s="14">
        <v>28.638300000000001</v>
      </c>
      <c r="AL3" s="14">
        <v>28.1083</v>
      </c>
      <c r="AM3" s="14">
        <v>-282.07</v>
      </c>
      <c r="AN3" s="14">
        <v>24.9</v>
      </c>
    </row>
    <row r="6" spans="1:41">
      <c r="AA6">
        <f>X2+AD2+AJ2</f>
        <v>72.355699999999999</v>
      </c>
      <c r="AB6">
        <f>Z2+AF2+AL2</f>
        <v>81.244500000000002</v>
      </c>
      <c r="AD6">
        <f>AB6-AA6</f>
        <v>8.8888000000000034</v>
      </c>
    </row>
    <row r="7" spans="1:41">
      <c r="AA7">
        <f>X3+AD3+AJ3</f>
        <v>73.744399999999999</v>
      </c>
      <c r="AB7">
        <f>Z3+AF3+AL3</f>
        <v>83.0929</v>
      </c>
      <c r="AD7">
        <f>AB7-AA7</f>
        <v>9.3485000000000014</v>
      </c>
    </row>
  </sheetData>
  <conditionalFormatting sqref="C1:C3">
    <cfRule type="duplicateValues" dxfId="1" priority="1"/>
    <cfRule type="duplicateValues" dxfId="0" priority="2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c7a9e26b68c7148b1f4c19027baf6be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ea92f46ce11959a32adf5425306acb8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86C0563-A42A-471A-B88B-F75FDF73325A}"/>
</file>

<file path=customXml/itemProps2.xml><?xml version="1.0" encoding="utf-8"?>
<ds:datastoreItem xmlns:ds="http://schemas.openxmlformats.org/officeDocument/2006/customXml" ds:itemID="{2EC9C66D-E070-4995-AC94-364250DFB046}"/>
</file>

<file path=customXml/itemProps3.xml><?xml version="1.0" encoding="utf-8"?>
<ds:datastoreItem xmlns:ds="http://schemas.openxmlformats.org/officeDocument/2006/customXml" ds:itemID="{B3F291A3-CD6C-4753-BC4A-96698E581A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Garcia, Marci R</dc:creator>
  <cp:keywords/>
  <dc:description/>
  <cp:lastModifiedBy>Garcia, Marci R</cp:lastModifiedBy>
  <cp:revision/>
  <dcterms:created xsi:type="dcterms:W3CDTF">2026-07-13T20:17:15Z</dcterms:created>
  <dcterms:modified xsi:type="dcterms:W3CDTF">2026-07-14T16:56:29Z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  <property fmtid="{D5CDD505-2E9C-101B-9397-08002B2CF9AE}" pid="3" name="MediaServiceImageTags">
    <vt:lpwstr/>
  </property>
</Properties>
</file>
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.sharepoint.com/teams/SoilPhysicsBSF/Shared Documents/Other physical properties/Fall 2025 - DELUGE/"/>
    </mc:Choice>
  </mc:AlternateContent>
  <xr:revisionPtr revIDLastSave="412" documentId="11_F1572690D1A3FDFC9888F88F2CFBF6D7D2400DE3" xr6:coauthVersionLast="47" xr6:coauthVersionMax="47" xr10:uidLastSave="{AF19822A-0A96-43F2-970C-0BFF2260C3DE}"/>
  <bookViews>
    <workbookView xWindow="-110" yWindow="-110" windowWidth="19420" windowHeight="10300" xr2:uid="{00000000-000D-0000-FFFF-FFFF00000000}"/>
  </bookViews>
  <sheets>
    <sheet name="Data summary" sheetId="1" r:id="rId1"/>
    <sheet name="correlations" sheetId="3" r:id="rId2"/>
    <sheet name="Literature for assumption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H12" i="1" s="1"/>
  <c r="W13" i="1"/>
  <c r="H13" i="1" s="1"/>
  <c r="W14" i="1"/>
  <c r="H14" i="1" s="1"/>
  <c r="W15" i="1"/>
  <c r="H15" i="1" s="1"/>
  <c r="W16" i="1"/>
  <c r="H16" i="1" s="1"/>
  <c r="W17" i="1"/>
  <c r="H17" i="1" s="1"/>
  <c r="W18" i="1"/>
  <c r="H18" i="1" s="1"/>
  <c r="W19" i="1"/>
  <c r="H19" i="1" s="1"/>
  <c r="W20" i="1"/>
  <c r="H20" i="1" s="1"/>
  <c r="W21" i="1"/>
  <c r="H21" i="1" s="1"/>
  <c r="W22" i="1"/>
  <c r="H22" i="1" s="1"/>
  <c r="W23" i="1"/>
  <c r="H23" i="1" s="1"/>
  <c r="W24" i="1"/>
  <c r="H24" i="1" s="1"/>
  <c r="W25" i="1"/>
  <c r="H25" i="1" s="1"/>
  <c r="W26" i="1"/>
  <c r="H26" i="1" s="1"/>
  <c r="W27" i="1"/>
  <c r="H27" i="1" s="1"/>
  <c r="W28" i="1"/>
  <c r="H28" i="1" s="1"/>
  <c r="W29" i="1"/>
  <c r="H29" i="1" s="1"/>
  <c r="W30" i="1"/>
  <c r="H30" i="1" s="1"/>
  <c r="W31" i="1"/>
  <c r="H31" i="1" s="1"/>
  <c r="W32" i="1"/>
  <c r="H32" i="1" s="1"/>
  <c r="W33" i="1"/>
  <c r="H33" i="1" s="1"/>
  <c r="W34" i="1"/>
  <c r="H34" i="1" s="1"/>
  <c r="W35" i="1"/>
  <c r="H35" i="1" s="1"/>
  <c r="W36" i="1"/>
  <c r="H36" i="1" s="1"/>
  <c r="W37" i="1"/>
  <c r="H37" i="1" s="1"/>
  <c r="W38" i="1"/>
  <c r="H38" i="1" s="1"/>
  <c r="W10" i="1"/>
  <c r="H10" i="1" s="1"/>
  <c r="W11" i="1"/>
  <c r="H11" i="1" s="1"/>
  <c r="W4" i="1"/>
  <c r="H4" i="1" s="1"/>
  <c r="W5" i="1"/>
  <c r="H5" i="1" s="1"/>
  <c r="W6" i="1"/>
  <c r="H6" i="1" s="1"/>
  <c r="W7" i="1"/>
  <c r="H7" i="1" s="1"/>
  <c r="W8" i="1"/>
  <c r="H8" i="1" s="1"/>
  <c r="W9" i="1"/>
  <c r="H9" i="1" s="1"/>
  <c r="W3" i="1"/>
  <c r="H3" i="1" s="1"/>
</calcChain>
</file>

<file path=xl/sharedStrings.xml><?xml version="1.0" encoding="utf-8"?>
<sst xmlns="http://schemas.openxmlformats.org/spreadsheetml/2006/main" count="369" uniqueCount="161">
  <si>
    <t>Soil physics: solids</t>
  </si>
  <si>
    <t>Soil chemistry</t>
  </si>
  <si>
    <t>Soil physics: Hydrology</t>
  </si>
  <si>
    <t>Soil mineralogy</t>
  </si>
  <si>
    <t>Label ID</t>
  </si>
  <si>
    <t>plot</t>
  </si>
  <si>
    <t>horizon</t>
  </si>
  <si>
    <t>1st (wet) bulk density (g/cm3)</t>
  </si>
  <si>
    <t>2nd (dry) bulk density (g/cm3)</t>
  </si>
  <si>
    <t>Particle Density (g/cm3)</t>
  </si>
  <si>
    <t>estimated OM density (g/cm3)</t>
  </si>
  <si>
    <t>Calculated porostiy (cm3/cm3)</t>
  </si>
  <si>
    <t>Coeficent of Linear Extensibility (COLE) from length change (cm/cm)</t>
  </si>
  <si>
    <t>Specific Surface Area by NaCl  RH (m2/g)</t>
  </si>
  <si>
    <t>total water stable aggregates 53um-6mm (g/g)</t>
  </si>
  <si>
    <t>Water Stable Aggregates MWD</t>
  </si>
  <si>
    <t>Sediment size class</t>
  </si>
  <si>
    <t>Coarse sand % (500um - 2mm)</t>
  </si>
  <si>
    <t>Medium sand % (250 - 500um)</t>
  </si>
  <si>
    <t>Fine sand % (53 - 250um)</t>
  </si>
  <si>
    <t>silt % (2 - 53um)</t>
  </si>
  <si>
    <t>clay % (&lt;2um)</t>
  </si>
  <si>
    <t>soil pH (2:1)</t>
  </si>
  <si>
    <t>Soil (solid phase) N  [%]</t>
  </si>
  <si>
    <t>Soil TOC  [%]</t>
  </si>
  <si>
    <t>Soil C/N  ratio</t>
  </si>
  <si>
    <t>calculated estimate for SOM (g/g)</t>
  </si>
  <si>
    <t>CECe</t>
  </si>
  <si>
    <t>Ksat-Ks_soil [cm/d]</t>
  </si>
  <si>
    <t>Ksat-log10[Ks_ soil (cm/d)]</t>
  </si>
  <si>
    <t>alpha-VGTeqn (1/cm)</t>
  </si>
  <si>
    <t>n-VGTeqn (pore size distribution)</t>
  </si>
  <si>
    <t>th-s-VGT eqn (vol/vol)</t>
  </si>
  <si>
    <t>Ks-VGTeqn (cm/d)</t>
  </si>
  <si>
    <t>tau-VGTeqn</t>
  </si>
  <si>
    <t>DLG_F1_BD_A-1</t>
  </si>
  <si>
    <t>F1</t>
  </si>
  <si>
    <t>A</t>
  </si>
  <si>
    <t>24.362</t>
  </si>
  <si>
    <t>DLG_F1_BD_A-2</t>
  </si>
  <si>
    <t>2140.000</t>
  </si>
  <si>
    <t>DLG_F1_BD_A-3</t>
  </si>
  <si>
    <t>16.438</t>
  </si>
  <si>
    <t>DLG_F1_BD_B-1</t>
  </si>
  <si>
    <t>B</t>
  </si>
  <si>
    <t>87.990</t>
  </si>
  <si>
    <t>DLG_F1_BD_B-2</t>
  </si>
  <si>
    <t>215.647</t>
  </si>
  <si>
    <t>DLG_F1_BD_B-3</t>
  </si>
  <si>
    <t>37.558</t>
  </si>
  <si>
    <t>DLG_F2_BD_A1</t>
  </si>
  <si>
    <t>F2</t>
  </si>
  <si>
    <t>686.348</t>
  </si>
  <si>
    <t>DLG_F2_BD_A-2</t>
  </si>
  <si>
    <t>675.950</t>
  </si>
  <si>
    <t>DLG_F2_BD_A-3</t>
  </si>
  <si>
    <t>3.295</t>
  </si>
  <si>
    <t>DLG_F2_BD_B-1</t>
  </si>
  <si>
    <t>51.170</t>
  </si>
  <si>
    <t>DLG_F2_BD_B-2</t>
  </si>
  <si>
    <t>8.608</t>
  </si>
  <si>
    <t>DLG_F2_BD_B-3</t>
  </si>
  <si>
    <t>153.324</t>
  </si>
  <si>
    <t>DLG_F3_BD_A-1</t>
  </si>
  <si>
    <t>F3</t>
  </si>
  <si>
    <t>DLG_F3_BD_A-2</t>
  </si>
  <si>
    <t>385.706</t>
  </si>
  <si>
    <t>DLG_F3_BD_A-3</t>
  </si>
  <si>
    <t>689.167</t>
  </si>
  <si>
    <t>DLG_F3_BD_B-1</t>
  </si>
  <si>
    <t>11.779</t>
  </si>
  <si>
    <t>DLG_F3_BD_B-2</t>
  </si>
  <si>
    <t>601.508</t>
  </si>
  <si>
    <t>DLG_F3_BD_B-3</t>
  </si>
  <si>
    <t>1.450</t>
  </si>
  <si>
    <t>DLG_F4_BD_A-1</t>
  </si>
  <si>
    <t>F4</t>
  </si>
  <si>
    <t>2240.000</t>
  </si>
  <si>
    <t>DLG_F4_BD_A-2</t>
  </si>
  <si>
    <t>1060.000</t>
  </si>
  <si>
    <t>DLG_F4_BD_A-3</t>
  </si>
  <si>
    <t>667.029</t>
  </si>
  <si>
    <t>DLG_F4_BD_B-1</t>
  </si>
  <si>
    <t>45.794</t>
  </si>
  <si>
    <t>DLG_F4_BD_B-2</t>
  </si>
  <si>
    <t>38.232</t>
  </si>
  <si>
    <t>DLG_F4_BD_B-3</t>
  </si>
  <si>
    <t>31.179</t>
  </si>
  <si>
    <t>DLG_R1_BD_A-1</t>
  </si>
  <si>
    <t>R1</t>
  </si>
  <si>
    <t>1770.000</t>
  </si>
  <si>
    <t>DLG_R1_BD_A-2</t>
  </si>
  <si>
    <t>327.968</t>
  </si>
  <si>
    <t>DLG_R1_BD_A-3</t>
  </si>
  <si>
    <t>158.012</t>
  </si>
  <si>
    <t>DLG_R1_BD_B-1</t>
  </si>
  <si>
    <t>26.957</t>
  </si>
  <si>
    <t>DLG_R1_BD_B-2</t>
  </si>
  <si>
    <t>1.660</t>
  </si>
  <si>
    <t>DLG_R1_BD_B-3</t>
  </si>
  <si>
    <t>DLG_R2_BD_A-1</t>
  </si>
  <si>
    <t>R2</t>
  </si>
  <si>
    <t>808.806</t>
  </si>
  <si>
    <t>DLG_R2_BD_A-2</t>
  </si>
  <si>
    <t>71.828</t>
  </si>
  <si>
    <t>DLG_R2_BD_A-3</t>
  </si>
  <si>
    <t>256.146</t>
  </si>
  <si>
    <t>DLG_R2_BD_B-1</t>
  </si>
  <si>
    <t>206.889</t>
  </si>
  <si>
    <t>DLG_R2_BD_B-2</t>
  </si>
  <si>
    <t>86.335</t>
  </si>
  <si>
    <t>DLG_R2_BD_B-3</t>
  </si>
  <si>
    <t>Correlations</t>
  </si>
  <si>
    <t>1st (wet) BD</t>
  </si>
  <si>
    <t>2nd (dry) BD</t>
  </si>
  <si>
    <t xml:space="preserve"> </t>
  </si>
  <si>
    <t>COLE</t>
  </si>
  <si>
    <t xml:space="preserve">Calc porostiy </t>
  </si>
  <si>
    <t>SSA</t>
  </si>
  <si>
    <t>total WS aggregates</t>
  </si>
  <si>
    <t>WS Aggregates MWD</t>
  </si>
  <si>
    <t>soil pH</t>
  </si>
  <si>
    <t>Soil  N  [%]</t>
  </si>
  <si>
    <t>calculated SOM</t>
  </si>
  <si>
    <t>Ksat-log10</t>
  </si>
  <si>
    <t>alpha-VG</t>
  </si>
  <si>
    <t>n-VG</t>
  </si>
  <si>
    <t>th-s-VG</t>
  </si>
  <si>
    <t>Ks-VGT</t>
  </si>
  <si>
    <t>tau-VG</t>
  </si>
  <si>
    <t>Soil</t>
  </si>
  <si>
    <t>(solid</t>
  </si>
  <si>
    <t>phase)</t>
  </si>
  <si>
    <t>N  [%]</t>
  </si>
  <si>
    <t>Soil TOC</t>
  </si>
  <si>
    <t>[%]</t>
  </si>
  <si>
    <t>Soil C/N</t>
  </si>
  <si>
    <t>ratio</t>
  </si>
  <si>
    <t>calculated</t>
  </si>
  <si>
    <t>estimate</t>
  </si>
  <si>
    <t>for SOM (g/</t>
  </si>
  <si>
    <t>Ksat-log10[Ks_</t>
  </si>
  <si>
    <t>soil (cm/d)]</t>
  </si>
  <si>
    <t>Coeficent of Linear Extensibili</t>
  </si>
  <si>
    <t>Specific Surface Area by NaCl</t>
  </si>
  <si>
    <t>total water stable aggregates 5</t>
  </si>
  <si>
    <t>alpha-VGTeqn</t>
  </si>
  <si>
    <t>(1/cm)</t>
  </si>
  <si>
    <t>n-VGTeqn (pore</t>
  </si>
  <si>
    <t>size distributio</t>
  </si>
  <si>
    <t>th-s-VGT</t>
  </si>
  <si>
    <t>eqn</t>
  </si>
  <si>
    <t>(vol/vol)</t>
  </si>
  <si>
    <t>Ks-VGTeqn</t>
  </si>
  <si>
    <t>(cm/d)</t>
  </si>
  <si>
    <t>calculated estimate for SOM (g/</t>
  </si>
  <si>
    <t>Conversion of SOC to SOM</t>
  </si>
  <si>
    <t>https://www.sciencedirect.com/science/article/pii/S0016706110000388</t>
  </si>
  <si>
    <t>SOM density of 1.3 g/cm3</t>
  </si>
  <si>
    <t>https://www.sciencedirect.com/science/article/pii/S0016706105000431</t>
  </si>
  <si>
    <t>water stable agregate MWD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</si>
</sst>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1"/>
    <xf numFmtId="0" fontId="0" fillId="2" borderId="0" xfId="0" applyFill="1"/>
    <xf numFmtId="0" fontId="0" fillId="0" borderId="0" xfId="0" applyFill="1"/>
    <xf numFmtId="0" fontId="5" fillId="3" borderId="0" xfId="0" applyFont="1" applyFill="1"/>
    <xf numFmtId="0" fontId="0" fillId="3" borderId="0" xfId="0" applyFill="1"/>
    <xf numFmtId="0" fontId="4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5" fillId="4" borderId="0" xfId="0" applyFont="1" applyFill="1"/>
    <xf numFmtId="0" fontId="0" fillId="4" borderId="0" xfId="0" applyFill="1"/>
    <xf numFmtId="0" fontId="4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5" fillId="5" borderId="0" xfId="0" applyFont="1" applyFill="1"/>
    <xf numFmtId="0" fontId="0" fillId="5" borderId="0" xfId="0" applyFill="1"/>
    <xf numFmtId="0" fontId="4" fillId="5" borderId="0" xfId="0" applyFont="1" applyFill="1" applyAlignment="1">
      <alignment wrapText="1"/>
    </xf>
    <xf numFmtId="0" fontId="5" fillId="6" borderId="0" xfId="0" applyFont="1" applyFill="1"/>
    <xf numFmtId="0" fontId="0" fillId="6" borderId="0" xfId="0" applyFill="1"/>
    <xf numFmtId="0" fontId="4" fillId="6" borderId="0" xfId="0" applyFont="1" applyFill="1" applyAlignment="1">
      <alignment wrapText="1"/>
    </xf>
    <xf numFmtId="2" fontId="0" fillId="2" borderId="0" xfId="0" applyNumberFormat="1" applyFill="1"/>
    <xf numFmtId="2" fontId="0" fillId="0" borderId="0" xfId="0" applyNumberFormat="1"/>
    <xf numFmtId="2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14</xdr:col>
      <xdr:colOff>0</xdr:colOff>
      <xdr:row>47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0F813B-5F8E-DE6B-D40F-BF25BF85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0" y="4953000"/>
          <a:ext cx="7315200" cy="411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0016706105000431" TargetMode="External"/><Relationship Id="rId1" Type="http://schemas.openxmlformats.org/officeDocument/2006/relationships/hyperlink" Target="https://www.sciencedirect.com/science/article/pii/S0016706110000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8"/>
  <sheetViews>
    <sheetView tabSelected="1" workbookViewId="0">
      <pane xSplit="1" topLeftCell="G31" activePane="topRight" state="frozen"/>
      <selection pane="topRight" activeCell="J3" sqref="J3:J38"/>
    </sheetView>
  </sheetViews>
  <sheetFormatPr defaultRowHeight="15"/>
  <cols>
    <col min="1" max="3" width="15.140625" customWidth="1"/>
  </cols>
  <sheetData>
    <row r="1" spans="1:38" ht="21">
      <c r="D1" s="6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0" t="s">
        <v>1</v>
      </c>
      <c r="T1" s="11"/>
      <c r="U1" s="11"/>
      <c r="V1" s="11"/>
      <c r="W1" s="11"/>
      <c r="X1" s="11"/>
      <c r="Y1" s="14" t="s">
        <v>2</v>
      </c>
      <c r="Z1" s="15"/>
      <c r="AA1" s="15"/>
      <c r="AB1" s="15"/>
      <c r="AC1" s="15"/>
      <c r="AD1" s="15"/>
      <c r="AE1" s="15"/>
      <c r="AF1" s="17" t="s">
        <v>3</v>
      </c>
      <c r="AG1" s="18"/>
      <c r="AH1" s="18"/>
      <c r="AI1" s="18"/>
      <c r="AJ1" s="18"/>
      <c r="AK1" s="18"/>
      <c r="AL1" s="18"/>
    </row>
    <row r="2" spans="1:38" ht="150">
      <c r="A2" s="1" t="s">
        <v>4</v>
      </c>
      <c r="B2" s="1" t="s">
        <v>5</v>
      </c>
      <c r="C2" s="1" t="s">
        <v>6</v>
      </c>
      <c r="D2" s="8" t="s">
        <v>7</v>
      </c>
      <c r="E2" s="8" t="s">
        <v>8</v>
      </c>
      <c r="F2" s="8" t="s">
        <v>9</v>
      </c>
      <c r="G2" s="9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8" t="s">
        <v>20</v>
      </c>
      <c r="R2" s="8" t="s">
        <v>21</v>
      </c>
      <c r="S2" s="12" t="s">
        <v>22</v>
      </c>
      <c r="T2" s="12" t="s">
        <v>23</v>
      </c>
      <c r="U2" s="12" t="s">
        <v>24</v>
      </c>
      <c r="V2" s="12" t="s">
        <v>25</v>
      </c>
      <c r="W2" s="13" t="s">
        <v>26</v>
      </c>
      <c r="X2" s="12" t="s">
        <v>27</v>
      </c>
      <c r="Y2" s="16" t="s">
        <v>28</v>
      </c>
      <c r="Z2" s="16" t="s">
        <v>29</v>
      </c>
      <c r="AA2" s="16" t="s">
        <v>30</v>
      </c>
      <c r="AB2" s="16" t="s">
        <v>31</v>
      </c>
      <c r="AC2" s="16" t="s">
        <v>32</v>
      </c>
      <c r="AD2" s="16" t="s">
        <v>33</v>
      </c>
      <c r="AE2" s="16" t="s">
        <v>34</v>
      </c>
      <c r="AF2" s="18"/>
      <c r="AG2" s="18"/>
      <c r="AH2" s="18"/>
      <c r="AI2" s="18"/>
      <c r="AJ2" s="18"/>
      <c r="AK2" s="18"/>
      <c r="AL2" s="19"/>
    </row>
    <row r="3" spans="1:38">
      <c r="A3" s="2" t="s">
        <v>35</v>
      </c>
      <c r="B3" s="2" t="s">
        <v>36</v>
      </c>
      <c r="C3" s="2" t="s">
        <v>37</v>
      </c>
      <c r="D3">
        <v>0.90892497195729927</v>
      </c>
      <c r="E3">
        <v>0.91826941640174375</v>
      </c>
      <c r="F3">
        <v>2.76</v>
      </c>
      <c r="G3">
        <v>1.3</v>
      </c>
      <c r="H3">
        <f>1-(((((1-W3)*E3)/F3))+(((W3*E3)/G3)))</f>
        <v>0.62361344601526814</v>
      </c>
      <c r="I3">
        <v>6.1349693251533846E-2</v>
      </c>
      <c r="J3" s="20">
        <v>300</v>
      </c>
      <c r="K3">
        <v>1.034712950600801</v>
      </c>
      <c r="L3">
        <v>1.5620764352469958</v>
      </c>
      <c r="S3">
        <v>5.0999999999999996</v>
      </c>
      <c r="T3">
        <v>0.56599999999999995</v>
      </c>
      <c r="U3">
        <v>5.8449999999999998</v>
      </c>
      <c r="V3">
        <v>10.3276</v>
      </c>
      <c r="W3">
        <f>U3/100*2</f>
        <v>0.11689999999999999</v>
      </c>
      <c r="Y3" t="s">
        <v>38</v>
      </c>
      <c r="Z3">
        <v>1.3867129388585999</v>
      </c>
      <c r="AA3">
        <v>6.3399999999999998E-2</v>
      </c>
      <c r="AB3">
        <v>1.1120000000000001</v>
      </c>
      <c r="AC3">
        <v>0.68600000000000005</v>
      </c>
      <c r="AD3">
        <v>59</v>
      </c>
      <c r="AE3">
        <v>-0.309</v>
      </c>
    </row>
    <row r="4" spans="1:38">
      <c r="A4" s="2" t="s">
        <v>39</v>
      </c>
      <c r="B4" s="2" t="s">
        <v>36</v>
      </c>
      <c r="C4" s="2" t="s">
        <v>37</v>
      </c>
      <c r="D4">
        <v>0.73569343492090689</v>
      </c>
      <c r="E4">
        <v>0.80811767734514928</v>
      </c>
      <c r="F4">
        <v>2.76</v>
      </c>
      <c r="G4">
        <v>1.3</v>
      </c>
      <c r="H4">
        <f>1-(((((1-W4)*E4)/F4))+(((W4*E4)/G4)))</f>
        <v>0.67280783730152283</v>
      </c>
      <c r="I4">
        <v>9.4674556213017735E-2</v>
      </c>
      <c r="J4" s="21">
        <v>294.2027581710712</v>
      </c>
      <c r="K4">
        <v>1.0112359550561798</v>
      </c>
      <c r="L4">
        <v>1.2738915730337079</v>
      </c>
      <c r="S4">
        <v>5.55</v>
      </c>
      <c r="T4">
        <v>0.501</v>
      </c>
      <c r="U4">
        <v>5.23</v>
      </c>
      <c r="V4">
        <v>10.4412</v>
      </c>
      <c r="W4">
        <f t="shared" ref="W4:W19" si="0">U4/100*2</f>
        <v>0.10460000000000001</v>
      </c>
      <c r="Y4" t="s">
        <v>40</v>
      </c>
      <c r="Z4">
        <v>3.330413773349191</v>
      </c>
      <c r="AA4">
        <v>0.24790000000000001</v>
      </c>
      <c r="AB4">
        <v>1.135</v>
      </c>
      <c r="AC4">
        <v>0.68200000000000005</v>
      </c>
      <c r="AD4">
        <v>159.19999999999999</v>
      </c>
      <c r="AE4">
        <v>-2.0089999999999999</v>
      </c>
    </row>
    <row r="5" spans="1:38">
      <c r="A5" s="2" t="s">
        <v>41</v>
      </c>
      <c r="B5" s="2" t="s">
        <v>36</v>
      </c>
      <c r="C5" s="2" t="s">
        <v>37</v>
      </c>
      <c r="D5">
        <v>0.75808198178155028</v>
      </c>
      <c r="E5">
        <v>0.81868804238761095</v>
      </c>
      <c r="F5">
        <v>2.76</v>
      </c>
      <c r="G5">
        <v>1.3</v>
      </c>
      <c r="H5">
        <f>1-(((((1-W5)*E5)/F5))+(((W5*E5)/G5)))</f>
        <v>0.67412473860605426</v>
      </c>
      <c r="I5">
        <v>9.7345132743362803E-2</v>
      </c>
      <c r="J5" s="21">
        <v>345.48871634529735</v>
      </c>
      <c r="K5">
        <v>0.9806598407281002</v>
      </c>
      <c r="L5">
        <v>1.4486794653014792</v>
      </c>
      <c r="S5">
        <v>5.31</v>
      </c>
      <c r="T5">
        <v>0.42399999999999999</v>
      </c>
      <c r="U5">
        <v>4.3899999999999997</v>
      </c>
      <c r="V5">
        <v>10.355600000000001</v>
      </c>
      <c r="W5">
        <f t="shared" si="0"/>
        <v>8.7799999999999989E-2</v>
      </c>
      <c r="Y5" t="s">
        <v>42</v>
      </c>
      <c r="Z5">
        <v>1.2158489761114544</v>
      </c>
      <c r="AA5">
        <v>0.11260000000000001</v>
      </c>
      <c r="AB5">
        <v>1.137</v>
      </c>
      <c r="AC5">
        <v>0.58899999999999997</v>
      </c>
      <c r="AD5">
        <v>66.400000000000006</v>
      </c>
      <c r="AE5">
        <v>-4.5529999999999999</v>
      </c>
    </row>
    <row r="6" spans="1:38">
      <c r="A6" s="2" t="s">
        <v>43</v>
      </c>
      <c r="B6" s="2" t="s">
        <v>36</v>
      </c>
      <c r="C6" s="2" t="s">
        <v>44</v>
      </c>
      <c r="D6">
        <v>1.1322994179824846</v>
      </c>
      <c r="E6">
        <v>1.1417357816188483</v>
      </c>
      <c r="F6">
        <v>2.76</v>
      </c>
      <c r="G6">
        <v>1.3</v>
      </c>
      <c r="H6">
        <f>1-(((((1-W6)*E6)/F6))+(((W6*E6)/G6)))</f>
        <v>0.56805080569903132</v>
      </c>
      <c r="I6">
        <v>6.9908814589665733E-2</v>
      </c>
      <c r="J6" s="21">
        <v>50.462833390673012</v>
      </c>
      <c r="K6">
        <v>1.0164348925410871</v>
      </c>
      <c r="L6">
        <v>1.6494333122629581</v>
      </c>
      <c r="S6">
        <v>6.15</v>
      </c>
      <c r="T6">
        <v>0.215</v>
      </c>
      <c r="U6">
        <v>1.9670000000000001</v>
      </c>
      <c r="V6">
        <v>9.1545000000000005</v>
      </c>
      <c r="W6">
        <f t="shared" si="0"/>
        <v>3.934E-2</v>
      </c>
      <c r="Y6" t="s">
        <v>45</v>
      </c>
      <c r="Z6">
        <v>1.9444333177002147</v>
      </c>
      <c r="AA6">
        <v>0.13600000000000001</v>
      </c>
      <c r="AB6">
        <v>1.113</v>
      </c>
      <c r="AC6">
        <v>0.57599999999999996</v>
      </c>
      <c r="AD6">
        <v>165.3</v>
      </c>
      <c r="AE6">
        <v>0.3</v>
      </c>
    </row>
    <row r="7" spans="1:38">
      <c r="A7" s="2" t="s">
        <v>46</v>
      </c>
      <c r="B7" s="2" t="s">
        <v>36</v>
      </c>
      <c r="C7" s="2" t="s">
        <v>44</v>
      </c>
      <c r="D7">
        <v>0.93927962647219954</v>
      </c>
      <c r="E7">
        <v>0.97406649515906829</v>
      </c>
      <c r="F7">
        <v>2.76</v>
      </c>
      <c r="G7">
        <v>1.3</v>
      </c>
      <c r="H7">
        <f>1-(((((1-W7)*E7)/F7))+(((W7*E7)/G7)))</f>
        <v>0.62540443160492654</v>
      </c>
      <c r="I7">
        <v>9.4674556213017735E-2</v>
      </c>
      <c r="J7" s="21">
        <v>253.84516050297489</v>
      </c>
      <c r="K7">
        <v>1.0541871921182269</v>
      </c>
      <c r="L7">
        <v>1.8859033935413247</v>
      </c>
      <c r="M7" s="5"/>
      <c r="N7" s="5"/>
      <c r="O7" s="5"/>
      <c r="P7" s="5"/>
      <c r="Q7" s="5"/>
      <c r="R7" s="5"/>
      <c r="S7">
        <v>5.98</v>
      </c>
      <c r="T7">
        <v>0.29199999999999998</v>
      </c>
      <c r="U7">
        <v>2.734</v>
      </c>
      <c r="V7">
        <v>9.3551000000000002</v>
      </c>
      <c r="W7">
        <f t="shared" si="0"/>
        <v>5.4679999999999999E-2</v>
      </c>
      <c r="Y7" t="s">
        <v>47</v>
      </c>
      <c r="Z7">
        <v>2.3337434207824188</v>
      </c>
      <c r="AA7">
        <v>0.2918</v>
      </c>
      <c r="AB7">
        <v>1.115</v>
      </c>
      <c r="AC7">
        <v>0.59099999999999997</v>
      </c>
      <c r="AD7">
        <v>84.3</v>
      </c>
      <c r="AE7">
        <v>-4.7670000000000003</v>
      </c>
    </row>
    <row r="8" spans="1:38">
      <c r="A8" s="2" t="s">
        <v>48</v>
      </c>
      <c r="B8" s="2" t="s">
        <v>36</v>
      </c>
      <c r="C8" s="2" t="s">
        <v>44</v>
      </c>
      <c r="D8">
        <v>1.1405398807447047</v>
      </c>
      <c r="E8">
        <v>1.1599833150881391</v>
      </c>
      <c r="F8">
        <v>2.76</v>
      </c>
      <c r="G8">
        <v>1.3</v>
      </c>
      <c r="H8">
        <f>1-(((((1-W8)*E8)/F8))+(((W8*E8)/G8)))</f>
        <v>0.55634220309119242</v>
      </c>
      <c r="I8">
        <v>3.7735849056603807E-2</v>
      </c>
      <c r="J8" s="21">
        <v>250.71370680050543</v>
      </c>
      <c r="K8">
        <v>0.9456635318704284</v>
      </c>
      <c r="L8">
        <v>1.5794247648902822</v>
      </c>
      <c r="M8" s="5"/>
      <c r="N8" s="5"/>
      <c r="O8" s="5"/>
      <c r="P8" s="5"/>
      <c r="Q8" s="5"/>
      <c r="R8" s="5"/>
      <c r="S8">
        <v>6.14</v>
      </c>
      <c r="T8">
        <v>0.26100000000000001</v>
      </c>
      <c r="U8">
        <v>2.476</v>
      </c>
      <c r="V8">
        <v>9.4854000000000003</v>
      </c>
      <c r="W8">
        <f t="shared" si="0"/>
        <v>4.9520000000000002E-2</v>
      </c>
      <c r="Y8" t="s">
        <v>49</v>
      </c>
      <c r="Z8">
        <v>1.5747024576065867</v>
      </c>
      <c r="AA8">
        <v>3.0499999999999999E-2</v>
      </c>
      <c r="AB8">
        <v>1.1439999999999999</v>
      </c>
      <c r="AC8">
        <v>0.59599999999999997</v>
      </c>
      <c r="AD8">
        <v>9.24</v>
      </c>
      <c r="AE8">
        <v>1.4419999999999999</v>
      </c>
    </row>
    <row r="9" spans="1:38">
      <c r="A9" s="2" t="s">
        <v>50</v>
      </c>
      <c r="B9" s="2" t="s">
        <v>51</v>
      </c>
      <c r="C9" s="2" t="s">
        <v>37</v>
      </c>
      <c r="D9">
        <v>0.71275775527508201</v>
      </c>
      <c r="E9">
        <v>0.7396537148710417</v>
      </c>
      <c r="F9">
        <v>2.76</v>
      </c>
      <c r="G9">
        <v>1.3</v>
      </c>
      <c r="H9">
        <f>1-(((((1-W9)*E9)/F9))+(((W9*E9)/G9)))</f>
        <v>0.68995744754365773</v>
      </c>
      <c r="I9">
        <v>6.7073170731707252E-2</v>
      </c>
      <c r="J9" s="21">
        <v>261.86293748468671</v>
      </c>
      <c r="K9">
        <v>0.99407933688573102</v>
      </c>
      <c r="L9">
        <v>1.0914295441089401</v>
      </c>
      <c r="M9" s="5"/>
      <c r="N9" s="5"/>
      <c r="O9" s="5"/>
      <c r="P9" s="5"/>
      <c r="Q9" s="5"/>
      <c r="R9" s="5"/>
      <c r="S9">
        <v>5.73</v>
      </c>
      <c r="T9">
        <v>0.69499999999999995</v>
      </c>
      <c r="U9">
        <v>6.9859999999999998</v>
      </c>
      <c r="V9">
        <v>10.0527</v>
      </c>
      <c r="W9">
        <f t="shared" si="0"/>
        <v>0.13971999999999998</v>
      </c>
      <c r="Y9" t="s">
        <v>52</v>
      </c>
      <c r="Z9">
        <v>2.8365443724972184</v>
      </c>
      <c r="AA9">
        <v>0.12180000000000001</v>
      </c>
      <c r="AB9">
        <v>1.2130000000000001</v>
      </c>
      <c r="AC9">
        <v>0.72099999999999997</v>
      </c>
      <c r="AD9">
        <v>635.70000000000005</v>
      </c>
      <c r="AE9">
        <v>0.69199999999999995</v>
      </c>
    </row>
    <row r="10" spans="1:38">
      <c r="A10" s="2" t="s">
        <v>53</v>
      </c>
      <c r="B10" s="2" t="s">
        <v>51</v>
      </c>
      <c r="C10" s="2" t="s">
        <v>37</v>
      </c>
      <c r="D10">
        <v>0.72563198981555932</v>
      </c>
      <c r="E10">
        <v>0.77310673729030688</v>
      </c>
      <c r="F10">
        <v>2.76</v>
      </c>
      <c r="G10">
        <v>1.3</v>
      </c>
      <c r="H10">
        <f>1-(((((1-W10)*E10)/F10))+(((W10*E10)/G10)))</f>
        <v>0.67820617145869322</v>
      </c>
      <c r="I10">
        <v>8.383233532934134E-2</v>
      </c>
      <c r="J10" s="21">
        <v>239.32109011403395</v>
      </c>
      <c r="K10">
        <v>1.0661310259579728</v>
      </c>
      <c r="L10">
        <v>1.7128961681087762</v>
      </c>
      <c r="M10" s="5"/>
      <c r="N10" s="5"/>
      <c r="O10" s="5"/>
      <c r="P10" s="5"/>
      <c r="Q10" s="5"/>
      <c r="R10" s="5"/>
      <c r="S10">
        <v>5.64</v>
      </c>
      <c r="T10">
        <v>0.60299999999999998</v>
      </c>
      <c r="U10">
        <v>6.625</v>
      </c>
      <c r="V10">
        <v>10.988300000000001</v>
      </c>
      <c r="W10">
        <f>U10/100*2</f>
        <v>0.13250000000000001</v>
      </c>
      <c r="Y10" t="s">
        <v>54</v>
      </c>
      <c r="Z10">
        <v>2.829914572380698</v>
      </c>
      <c r="AA10">
        <v>0.1716</v>
      </c>
      <c r="AB10">
        <v>1.1539999999999999</v>
      </c>
      <c r="AC10">
        <v>0.76300000000000001</v>
      </c>
      <c r="AD10">
        <v>101.4</v>
      </c>
      <c r="AE10">
        <v>-4.1050000000000004</v>
      </c>
    </row>
    <row r="11" spans="1:38">
      <c r="A11" s="2" t="s">
        <v>55</v>
      </c>
      <c r="B11" s="2" t="s">
        <v>51</v>
      </c>
      <c r="C11" s="2" t="s">
        <v>37</v>
      </c>
      <c r="D11">
        <v>0.74783815128261721</v>
      </c>
      <c r="E11">
        <v>0.82185532299978881</v>
      </c>
      <c r="F11">
        <v>2.76</v>
      </c>
      <c r="G11">
        <v>1.3</v>
      </c>
      <c r="H11">
        <f>1-(((((1-W11)*E11)/F11))+(((W11*E11)/G11)))</f>
        <v>0.65016340093108926</v>
      </c>
      <c r="I11">
        <v>8.1081081081081113E-2</v>
      </c>
      <c r="J11" s="21">
        <v>270.53240263048281</v>
      </c>
      <c r="K11">
        <v>1.056854074542009</v>
      </c>
      <c r="L11" s="5">
        <v>1.7631762476310802</v>
      </c>
      <c r="M11" s="5"/>
      <c r="N11" s="5"/>
      <c r="O11" s="5"/>
      <c r="P11" s="5"/>
      <c r="Q11" s="5"/>
      <c r="R11" s="5"/>
      <c r="S11">
        <v>5.67</v>
      </c>
      <c r="T11">
        <v>0.74399999999999999</v>
      </c>
      <c r="U11">
        <v>7.7839999999999998</v>
      </c>
      <c r="V11">
        <v>10.4674</v>
      </c>
      <c r="W11">
        <f t="shared" si="0"/>
        <v>0.15567999999999999</v>
      </c>
      <c r="Y11" t="s">
        <v>56</v>
      </c>
      <c r="Z11">
        <v>0.51785541893002862</v>
      </c>
      <c r="AA11">
        <v>7.9699999999999993E-2</v>
      </c>
      <c r="AB11">
        <v>1.194</v>
      </c>
      <c r="AC11">
        <v>0.71599999999999997</v>
      </c>
      <c r="AD11">
        <v>108.4</v>
      </c>
      <c r="AE11">
        <v>-0.64700000000000002</v>
      </c>
    </row>
    <row r="12" spans="1:38">
      <c r="A12" s="2" t="s">
        <v>57</v>
      </c>
      <c r="B12" s="2" t="s">
        <v>51</v>
      </c>
      <c r="C12" s="2" t="s">
        <v>44</v>
      </c>
      <c r="D12">
        <v>1.212687151272333</v>
      </c>
      <c r="E12">
        <v>1.2528033128884946</v>
      </c>
      <c r="F12">
        <v>2.76</v>
      </c>
      <c r="G12">
        <v>1.3</v>
      </c>
      <c r="H12">
        <f>1-(((((1-W12)*E12)/F12))+(((W12*E12)/G12)))</f>
        <v>0.52880419344393914</v>
      </c>
      <c r="I12">
        <v>6.7073170731707252E-2</v>
      </c>
      <c r="J12" s="21">
        <v>204.28246805499893</v>
      </c>
      <c r="K12">
        <v>0.83342376559956588</v>
      </c>
      <c r="L12" s="5">
        <v>1.4601554530656538</v>
      </c>
      <c r="M12" s="5"/>
      <c r="N12" s="5"/>
      <c r="O12" s="5"/>
      <c r="P12" s="5"/>
      <c r="Q12" s="5"/>
      <c r="R12" s="5"/>
      <c r="S12">
        <v>6</v>
      </c>
      <c r="T12">
        <v>0.16700000000000001</v>
      </c>
      <c r="U12">
        <v>1.6950000000000001</v>
      </c>
      <c r="V12">
        <v>10.1393</v>
      </c>
      <c r="W12">
        <f t="shared" si="0"/>
        <v>3.39E-2</v>
      </c>
      <c r="Y12" t="s">
        <v>58</v>
      </c>
      <c r="Z12">
        <v>1.7090154169721172</v>
      </c>
      <c r="AA12">
        <v>2.7900000000000001E-2</v>
      </c>
      <c r="AB12">
        <v>1.1180000000000001</v>
      </c>
      <c r="AC12">
        <v>0.52800000000000002</v>
      </c>
      <c r="AD12">
        <v>5.35</v>
      </c>
      <c r="AE12">
        <v>-0.67300000000000004</v>
      </c>
    </row>
    <row r="13" spans="1:38">
      <c r="A13" s="2" t="s">
        <v>59</v>
      </c>
      <c r="B13" s="2" t="s">
        <v>51</v>
      </c>
      <c r="C13" s="2" t="s">
        <v>44</v>
      </c>
      <c r="D13">
        <v>1.2240744312569358</v>
      </c>
      <c r="E13">
        <v>1.2632239262064306</v>
      </c>
      <c r="F13">
        <v>2.76</v>
      </c>
      <c r="G13">
        <v>1.3</v>
      </c>
      <c r="H13">
        <f>1-(((((1-W13)*E13)/F13))+(((W13*E13)/G13)))</f>
        <v>0.51036891392444739</v>
      </c>
      <c r="I13">
        <v>6.9908814589665885E-2</v>
      </c>
      <c r="J13" s="21">
        <v>99.973042866861604</v>
      </c>
      <c r="K13" s="4">
        <v>1.3279678068410465</v>
      </c>
      <c r="L13" s="5">
        <v>1.6808923541247487</v>
      </c>
      <c r="M13" s="5"/>
      <c r="N13" s="5"/>
      <c r="O13" s="5"/>
      <c r="P13" s="5"/>
      <c r="Q13" s="5"/>
      <c r="R13" s="5"/>
      <c r="S13">
        <v>5.84</v>
      </c>
      <c r="T13">
        <v>0.312</v>
      </c>
      <c r="U13">
        <v>3.1070000000000002</v>
      </c>
      <c r="V13">
        <v>9.9702999999999999</v>
      </c>
      <c r="W13">
        <f t="shared" si="0"/>
        <v>6.2140000000000001E-2</v>
      </c>
      <c r="Y13" t="s">
        <v>60</v>
      </c>
      <c r="Z13">
        <v>0.93490225832231399</v>
      </c>
      <c r="AA13">
        <v>2.46E-2</v>
      </c>
      <c r="AB13">
        <v>1.1120000000000001</v>
      </c>
      <c r="AC13">
        <v>0.57499999999999996</v>
      </c>
      <c r="AD13">
        <v>4.6500000000000004</v>
      </c>
      <c r="AE13">
        <v>1.35</v>
      </c>
    </row>
    <row r="14" spans="1:38">
      <c r="A14" s="2" t="s">
        <v>61</v>
      </c>
      <c r="B14" s="2" t="s">
        <v>51</v>
      </c>
      <c r="C14" s="2" t="s">
        <v>44</v>
      </c>
      <c r="D14">
        <v>0.97378707419042143</v>
      </c>
      <c r="E14">
        <v>1.0031890943924415</v>
      </c>
      <c r="F14">
        <v>2.76</v>
      </c>
      <c r="G14">
        <v>1.3</v>
      </c>
      <c r="H14">
        <f>1-(((((1-W14)*E14)/F14))+(((W14*E14)/G14)))</f>
        <v>0.6045465496527197</v>
      </c>
      <c r="I14">
        <v>4.6728971962616987E-2</v>
      </c>
      <c r="J14" s="21">
        <v>223.75176638928363</v>
      </c>
      <c r="K14">
        <v>0.8995865327820437</v>
      </c>
      <c r="L14" s="5">
        <v>1.4126036621382161</v>
      </c>
      <c r="M14" s="5"/>
      <c r="N14" s="5"/>
      <c r="O14" s="5"/>
      <c r="P14" s="5"/>
      <c r="Q14" s="5"/>
      <c r="R14" s="5"/>
      <c r="S14">
        <v>5.74</v>
      </c>
      <c r="T14">
        <v>0.36799999999999999</v>
      </c>
      <c r="U14">
        <v>3.9169999999999998</v>
      </c>
      <c r="V14">
        <v>10.644600000000001</v>
      </c>
      <c r="W14">
        <f t="shared" si="0"/>
        <v>7.8339999999999993E-2</v>
      </c>
      <c r="Y14" t="s">
        <v>62</v>
      </c>
      <c r="Z14">
        <v>2.1856101408410362</v>
      </c>
      <c r="AA14">
        <v>4.7800000000000002E-2</v>
      </c>
      <c r="AB14">
        <v>1.1479999999999999</v>
      </c>
      <c r="AC14">
        <v>0.751</v>
      </c>
      <c r="AD14">
        <v>38.5</v>
      </c>
      <c r="AE14">
        <v>2.2509999999999999</v>
      </c>
    </row>
    <row r="15" spans="1:38">
      <c r="A15" s="2" t="s">
        <v>63</v>
      </c>
      <c r="B15" s="2" t="s">
        <v>64</v>
      </c>
      <c r="C15" s="2" t="s">
        <v>37</v>
      </c>
      <c r="D15">
        <v>0.82245276974682002</v>
      </c>
      <c r="E15">
        <v>0.87225074954479986</v>
      </c>
      <c r="F15">
        <v>2.76</v>
      </c>
      <c r="G15">
        <v>1.3</v>
      </c>
      <c r="H15">
        <f>1-(((((1-W15)*E15)/F15))+(((W15*E15)/G15)))</f>
        <v>0.63594519426649376</v>
      </c>
      <c r="I15">
        <v>4.9689440993788969E-2</v>
      </c>
      <c r="J15" s="21">
        <v>181.7222885437856</v>
      </c>
      <c r="K15" s="5">
        <v>0.91557330299999995</v>
      </c>
      <c r="L15" s="5">
        <v>1.0629506559999999</v>
      </c>
      <c r="M15" s="5"/>
      <c r="N15" s="5"/>
      <c r="O15" s="5"/>
      <c r="P15" s="5"/>
      <c r="Q15" s="5"/>
      <c r="R15" s="5"/>
      <c r="S15">
        <v>5.68</v>
      </c>
      <c r="T15">
        <v>0.58599999999999997</v>
      </c>
      <c r="U15">
        <v>6.7649999999999997</v>
      </c>
      <c r="V15">
        <v>11.536799999999999</v>
      </c>
      <c r="W15">
        <f t="shared" si="0"/>
        <v>0.1353</v>
      </c>
      <c r="Y15" s="4"/>
      <c r="Z15" s="4"/>
      <c r="AA15">
        <v>0.21740000000000001</v>
      </c>
      <c r="AB15">
        <v>1.1739999999999999</v>
      </c>
      <c r="AC15">
        <v>0.64100000000000001</v>
      </c>
      <c r="AD15">
        <v>1751.5</v>
      </c>
      <c r="AE15">
        <v>-0.58199999999999996</v>
      </c>
    </row>
    <row r="16" spans="1:38">
      <c r="A16" s="2" t="s">
        <v>65</v>
      </c>
      <c r="B16" s="2" t="s">
        <v>64</v>
      </c>
      <c r="C16" s="2" t="s">
        <v>37</v>
      </c>
      <c r="D16">
        <v>0.82539726238456479</v>
      </c>
      <c r="E16">
        <v>0.8472346361219385</v>
      </c>
      <c r="F16">
        <v>2.76</v>
      </c>
      <c r="G16">
        <v>1.3</v>
      </c>
      <c r="H16">
        <f>1-(((((1-W16)*E16)/F16))+(((W16*E16)/G16)))</f>
        <v>0.65328126779988427</v>
      </c>
      <c r="I16">
        <v>6.7073170731707252E-2</v>
      </c>
      <c r="J16" s="21">
        <v>186.1299467004178</v>
      </c>
      <c r="K16">
        <v>1.0342754058929646</v>
      </c>
      <c r="L16" s="5">
        <v>1.5915640408899581</v>
      </c>
      <c r="M16" s="5"/>
      <c r="N16" s="5"/>
      <c r="O16" s="5"/>
      <c r="P16" s="5"/>
      <c r="Q16" s="5"/>
      <c r="R16" s="5"/>
      <c r="S16">
        <v>6.1</v>
      </c>
      <c r="T16">
        <v>0.48199999999999998</v>
      </c>
      <c r="U16">
        <v>5.7649999999999997</v>
      </c>
      <c r="V16">
        <v>11.9573</v>
      </c>
      <c r="W16">
        <f t="shared" si="0"/>
        <v>0.1153</v>
      </c>
      <c r="Y16" t="s">
        <v>66</v>
      </c>
      <c r="Z16">
        <v>2.5862563947556549</v>
      </c>
      <c r="AA16">
        <v>8.9399999999999993E-2</v>
      </c>
      <c r="AB16">
        <v>1.1619999999999999</v>
      </c>
      <c r="AC16">
        <v>0.68899999999999995</v>
      </c>
      <c r="AD16">
        <v>370.5</v>
      </c>
      <c r="AE16">
        <v>-0.80900000000000005</v>
      </c>
    </row>
    <row r="17" spans="1:31">
      <c r="A17" s="2" t="s">
        <v>67</v>
      </c>
      <c r="B17" s="2" t="s">
        <v>64</v>
      </c>
      <c r="C17" s="2" t="s">
        <v>37</v>
      </c>
      <c r="D17">
        <v>0.74820991872750287</v>
      </c>
      <c r="E17">
        <v>0.76747052478810895</v>
      </c>
      <c r="F17">
        <v>2.76</v>
      </c>
      <c r="G17">
        <v>1.3</v>
      </c>
      <c r="H17">
        <f>1-(((((1-W17)*E17)/F17))+(((W17*E17)/G17)))</f>
        <v>0.68088318900205147</v>
      </c>
      <c r="I17">
        <v>6.4220183486238633E-2</v>
      </c>
      <c r="J17" s="21">
        <v>201.26829034508208</v>
      </c>
      <c r="K17">
        <v>1.0173237753882916</v>
      </c>
      <c r="L17" s="5">
        <v>1.3157350657108722</v>
      </c>
      <c r="M17" s="5"/>
      <c r="N17" s="5"/>
      <c r="O17" s="5"/>
      <c r="P17" s="5"/>
      <c r="Q17" s="5"/>
      <c r="R17" s="5"/>
      <c r="S17">
        <v>6.12</v>
      </c>
      <c r="T17">
        <v>0.56699999999999995</v>
      </c>
      <c r="U17">
        <v>6.5720000000000001</v>
      </c>
      <c r="V17">
        <v>11.59</v>
      </c>
      <c r="W17">
        <f t="shared" si="0"/>
        <v>0.13144</v>
      </c>
      <c r="Y17" t="s">
        <v>68</v>
      </c>
      <c r="Z17">
        <v>2.8383244735626616</v>
      </c>
      <c r="AA17">
        <v>0.34889999999999999</v>
      </c>
      <c r="AB17">
        <v>1.117</v>
      </c>
      <c r="AC17">
        <v>0.83199999999999996</v>
      </c>
      <c r="AD17">
        <v>1703.3</v>
      </c>
      <c r="AE17">
        <v>-1.5569999999999999</v>
      </c>
    </row>
    <row r="18" spans="1:31">
      <c r="A18" s="2" t="s">
        <v>69</v>
      </c>
      <c r="B18" s="2" t="s">
        <v>64</v>
      </c>
      <c r="C18" s="2" t="s">
        <v>44</v>
      </c>
      <c r="D18">
        <v>1.2250907036786862</v>
      </c>
      <c r="E18">
        <v>1.2717442390322218</v>
      </c>
      <c r="F18">
        <v>2.76</v>
      </c>
      <c r="G18">
        <v>1.3</v>
      </c>
      <c r="H18">
        <f>1-(((((1-W18)*E18)/F18))+(((W18*E18)/G18)))</f>
        <v>0.5154704071414733</v>
      </c>
      <c r="I18">
        <v>6.1349693251533846E-2</v>
      </c>
      <c r="J18" s="22">
        <v>156.16608458016665</v>
      </c>
      <c r="K18" s="5">
        <v>0.83138053998981165</v>
      </c>
      <c r="L18" s="5">
        <v>1.1580287824758024</v>
      </c>
      <c r="M18" s="5"/>
      <c r="N18" s="5"/>
      <c r="O18" s="5"/>
      <c r="P18" s="5"/>
      <c r="Q18" s="5"/>
      <c r="R18" s="5"/>
      <c r="S18" s="5">
        <v>6.45</v>
      </c>
      <c r="T18">
        <v>0.23799999999999999</v>
      </c>
      <c r="U18">
        <v>2.2949999999999999</v>
      </c>
      <c r="V18">
        <v>9.6577999999999999</v>
      </c>
      <c r="W18">
        <f t="shared" si="0"/>
        <v>4.5899999999999996E-2</v>
      </c>
      <c r="Y18" t="s">
        <v>70</v>
      </c>
      <c r="Z18">
        <v>1.0711084217824496</v>
      </c>
      <c r="AA18">
        <v>3.5099999999999999E-2</v>
      </c>
      <c r="AB18">
        <v>1.1339999999999999</v>
      </c>
      <c r="AC18">
        <v>0.53600000000000003</v>
      </c>
      <c r="AD18">
        <v>5.03</v>
      </c>
      <c r="AE18">
        <v>-5.0430000000000001</v>
      </c>
    </row>
    <row r="19" spans="1:31">
      <c r="A19" s="2" t="s">
        <v>71</v>
      </c>
      <c r="B19" s="2" t="s">
        <v>64</v>
      </c>
      <c r="C19" s="2" t="s">
        <v>44</v>
      </c>
      <c r="D19">
        <v>1.1780963788417973</v>
      </c>
      <c r="E19">
        <v>1.203974156619575</v>
      </c>
      <c r="F19">
        <v>2.76</v>
      </c>
      <c r="G19">
        <v>1.3</v>
      </c>
      <c r="H19">
        <f>1-(((((1-W19)*E19)/F19))+(((W19*E19)/G19)))</f>
        <v>0.53911533728817662</v>
      </c>
      <c r="I19">
        <v>1.9230769230769332E-2</v>
      </c>
      <c r="J19" s="22">
        <v>132.25904332154147</v>
      </c>
      <c r="K19" s="5">
        <v>0.84322033898305082</v>
      </c>
      <c r="L19" s="5">
        <v>1.3418832097457629</v>
      </c>
      <c r="M19" s="5"/>
      <c r="N19" s="5"/>
      <c r="O19" s="5"/>
      <c r="P19" s="5"/>
      <c r="Q19" s="5"/>
      <c r="R19" s="5"/>
      <c r="S19" s="5">
        <v>6.39</v>
      </c>
      <c r="T19">
        <v>0.23899999999999999</v>
      </c>
      <c r="U19">
        <v>2.5169999999999999</v>
      </c>
      <c r="V19">
        <v>10.5182</v>
      </c>
      <c r="W19">
        <f t="shared" si="0"/>
        <v>5.0339999999999996E-2</v>
      </c>
      <c r="Y19" t="s">
        <v>72</v>
      </c>
      <c r="Z19">
        <v>2.7792414077901624</v>
      </c>
      <c r="AA19">
        <v>0.1772</v>
      </c>
      <c r="AB19">
        <v>1.117</v>
      </c>
      <c r="AC19">
        <v>0.56899999999999995</v>
      </c>
      <c r="AD19">
        <v>853.6</v>
      </c>
      <c r="AE19">
        <v>-1.591</v>
      </c>
    </row>
    <row r="20" spans="1:31">
      <c r="A20" s="2" t="s">
        <v>73</v>
      </c>
      <c r="B20" s="2" t="s">
        <v>64</v>
      </c>
      <c r="C20" s="2" t="s">
        <v>44</v>
      </c>
      <c r="D20">
        <v>1.4664324490516885</v>
      </c>
      <c r="E20">
        <v>1.48634962076886</v>
      </c>
      <c r="F20">
        <v>2.76</v>
      </c>
      <c r="G20">
        <v>1.3</v>
      </c>
      <c r="H20">
        <f>1-(((((1-W20)*E20)/F20))+(((W20*E20)/G20)))</f>
        <v>0.45272192707543424</v>
      </c>
      <c r="I20">
        <v>6.1349693251533846E-2</v>
      </c>
      <c r="J20" s="22">
        <v>133.87864365806658</v>
      </c>
      <c r="K20" s="5">
        <v>0.41599570600000002</v>
      </c>
      <c r="L20" s="5">
        <v>0.57209796000000002</v>
      </c>
      <c r="M20" s="5"/>
      <c r="N20" s="5"/>
      <c r="O20" s="5"/>
      <c r="P20" s="5"/>
      <c r="Q20" s="5"/>
      <c r="R20" s="5"/>
      <c r="S20" s="5">
        <v>6.61</v>
      </c>
      <c r="T20">
        <v>9.1999999999999998E-2</v>
      </c>
      <c r="U20">
        <v>0.72299999999999998</v>
      </c>
      <c r="V20">
        <v>7.8239000000000001</v>
      </c>
      <c r="W20">
        <f t="shared" ref="W20:W38" si="1">U20/100*2</f>
        <v>1.4459999999999999E-2</v>
      </c>
      <c r="Y20" t="s">
        <v>74</v>
      </c>
      <c r="Z20">
        <v>0.16136800223497488</v>
      </c>
      <c r="AA20">
        <v>2.06E-2</v>
      </c>
      <c r="AB20">
        <v>1.1259999999999999</v>
      </c>
      <c r="AC20">
        <v>0.42499999999999999</v>
      </c>
      <c r="AD20">
        <v>2.33</v>
      </c>
      <c r="AE20">
        <v>-3.133</v>
      </c>
    </row>
    <row r="21" spans="1:31">
      <c r="A21" s="2" t="s">
        <v>75</v>
      </c>
      <c r="B21" s="2" t="s">
        <v>76</v>
      </c>
      <c r="C21" s="2" t="s">
        <v>37</v>
      </c>
      <c r="D21">
        <v>0.78847677871499733</v>
      </c>
      <c r="E21">
        <v>0.80840506154328007</v>
      </c>
      <c r="F21">
        <v>2.76</v>
      </c>
      <c r="G21">
        <v>1.3</v>
      </c>
      <c r="H21">
        <f>1-(((((1-W21)*E21)/F21))+(((W21*E21)/G21)))</f>
        <v>0.67124410214596941</v>
      </c>
      <c r="I21">
        <v>7.8313253012048389E-2</v>
      </c>
      <c r="J21" s="22">
        <v>131.53422174849777</v>
      </c>
      <c r="K21" s="5">
        <v>1.0153755174452987</v>
      </c>
      <c r="L21" s="5">
        <v>1.4521342400946187</v>
      </c>
      <c r="M21" s="5"/>
      <c r="N21" s="5"/>
      <c r="O21" s="5"/>
      <c r="P21" s="5"/>
      <c r="Q21" s="5"/>
      <c r="R21" s="5"/>
      <c r="S21" s="5">
        <v>6.03</v>
      </c>
      <c r="T21">
        <v>0.44800000000000001</v>
      </c>
      <c r="U21">
        <v>5.45</v>
      </c>
      <c r="V21">
        <v>12.1602</v>
      </c>
      <c r="W21">
        <f t="shared" si="1"/>
        <v>0.109</v>
      </c>
      <c r="Y21" t="s">
        <v>77</v>
      </c>
      <c r="Z21">
        <v>3.3502480183341627</v>
      </c>
      <c r="AA21">
        <v>0.43290000000000001</v>
      </c>
      <c r="AB21">
        <v>1.1319999999999999</v>
      </c>
      <c r="AC21">
        <v>0.60699999999999998</v>
      </c>
      <c r="AD21">
        <v>6201.8</v>
      </c>
      <c r="AE21">
        <v>-2.2709999999999999</v>
      </c>
    </row>
    <row r="22" spans="1:31">
      <c r="A22" s="2" t="s">
        <v>78</v>
      </c>
      <c r="B22" s="2" t="s">
        <v>76</v>
      </c>
      <c r="C22" s="2" t="s">
        <v>37</v>
      </c>
      <c r="D22">
        <v>0.81973943778903791</v>
      </c>
      <c r="E22">
        <v>0.82777782162742175</v>
      </c>
      <c r="F22">
        <v>2.76</v>
      </c>
      <c r="G22">
        <v>1.3</v>
      </c>
      <c r="H22">
        <f>1-(((((1-W22)*E22)/F22))+(((W22*E22)/G22)))</f>
        <v>0.6505189403623004</v>
      </c>
      <c r="I22">
        <v>1.9230769230769332E-2</v>
      </c>
      <c r="J22" s="22">
        <v>66.489796806712164</v>
      </c>
      <c r="K22" s="5">
        <v>0.97786837507280133</v>
      </c>
      <c r="L22" s="5">
        <v>1.3153750728013975</v>
      </c>
      <c r="M22" s="5"/>
      <c r="N22" s="5"/>
      <c r="O22" s="5"/>
      <c r="P22" s="5"/>
      <c r="Q22" s="5"/>
      <c r="R22" s="5"/>
      <c r="S22" s="5">
        <v>5.79</v>
      </c>
      <c r="T22">
        <v>0.49199999999999999</v>
      </c>
      <c r="U22">
        <v>7.3570000000000002</v>
      </c>
      <c r="V22">
        <v>14.942</v>
      </c>
      <c r="W22">
        <f t="shared" si="1"/>
        <v>0.14713999999999999</v>
      </c>
      <c r="Y22" t="s">
        <v>79</v>
      </c>
      <c r="Z22">
        <v>3.0253058652647704</v>
      </c>
      <c r="AA22">
        <v>2.07E-2</v>
      </c>
      <c r="AB22">
        <v>1.1719999999999999</v>
      </c>
      <c r="AC22">
        <v>0.496</v>
      </c>
      <c r="AD22">
        <v>24.9</v>
      </c>
      <c r="AE22">
        <v>-0.74</v>
      </c>
    </row>
    <row r="23" spans="1:31">
      <c r="A23" s="2" t="s">
        <v>80</v>
      </c>
      <c r="B23" s="2" t="s">
        <v>76</v>
      </c>
      <c r="C23" s="2" t="s">
        <v>37</v>
      </c>
      <c r="D23">
        <v>0.86861553093745036</v>
      </c>
      <c r="E23">
        <v>0.88804078346270288</v>
      </c>
      <c r="F23">
        <v>2.76</v>
      </c>
      <c r="G23">
        <v>1.3</v>
      </c>
      <c r="H23">
        <f>1-(((((1-W23)*E23)/F23))+(((W23*E23)/G23)))</f>
        <v>0.62862490839917573</v>
      </c>
      <c r="I23">
        <v>3.1645569620253222E-2</v>
      </c>
      <c r="J23" s="21">
        <v>121.82803968327451</v>
      </c>
      <c r="K23">
        <v>0.95792079207920777</v>
      </c>
      <c r="L23" s="5">
        <v>1.2701840965346536</v>
      </c>
      <c r="M23" s="5"/>
      <c r="N23" s="5"/>
      <c r="O23" s="5"/>
      <c r="P23" s="5"/>
      <c r="Q23" s="5"/>
      <c r="R23" s="5"/>
      <c r="S23">
        <v>6.08</v>
      </c>
      <c r="T23">
        <v>0.54100000000000004</v>
      </c>
      <c r="U23">
        <v>6.8659999999999997</v>
      </c>
      <c r="V23">
        <v>12.700699999999999</v>
      </c>
      <c r="W23">
        <f t="shared" si="1"/>
        <v>0.13732</v>
      </c>
      <c r="Y23" t="s">
        <v>81</v>
      </c>
      <c r="Z23">
        <v>2.8241447158748532</v>
      </c>
      <c r="AA23">
        <v>0.1164</v>
      </c>
      <c r="AB23">
        <v>1.1819999999999999</v>
      </c>
      <c r="AC23">
        <v>0.59699999999999998</v>
      </c>
      <c r="AD23">
        <v>77.8</v>
      </c>
      <c r="AE23">
        <v>-0.79700000000000004</v>
      </c>
    </row>
    <row r="24" spans="1:31">
      <c r="A24" s="2" t="s">
        <v>82</v>
      </c>
      <c r="B24" s="2" t="s">
        <v>76</v>
      </c>
      <c r="C24" s="2" t="s">
        <v>44</v>
      </c>
      <c r="D24">
        <v>1.2006940629073453</v>
      </c>
      <c r="E24">
        <v>1.2032556790689615</v>
      </c>
      <c r="F24">
        <v>2.76</v>
      </c>
      <c r="G24">
        <v>1.3</v>
      </c>
      <c r="H24">
        <f>1-(((((1-W24)*E24)/F24))+(((W24*E24)/G24)))</f>
        <v>0.54716552363079818</v>
      </c>
      <c r="I24">
        <v>9.7087378640776361E-3</v>
      </c>
      <c r="J24" s="21">
        <v>108.0192958739751</v>
      </c>
      <c r="K24">
        <v>0.97647647647647651</v>
      </c>
      <c r="L24" s="5">
        <v>1.790916916916917</v>
      </c>
      <c r="M24" s="5"/>
      <c r="N24" s="5"/>
      <c r="O24" s="5"/>
      <c r="P24" s="5"/>
      <c r="Q24" s="5"/>
      <c r="R24" s="5"/>
      <c r="S24">
        <v>5.16</v>
      </c>
      <c r="T24">
        <v>0.156</v>
      </c>
      <c r="U24">
        <v>1.7230000000000001</v>
      </c>
      <c r="V24">
        <v>11.014200000000001</v>
      </c>
      <c r="W24">
        <f t="shared" si="1"/>
        <v>3.4460000000000005E-2</v>
      </c>
      <c r="Y24" t="s">
        <v>83</v>
      </c>
      <c r="Z24">
        <v>1.6608085798032197</v>
      </c>
      <c r="AA24">
        <v>2.8199999999999999E-2</v>
      </c>
      <c r="AB24">
        <v>1.175</v>
      </c>
      <c r="AC24">
        <v>0.47399999999999998</v>
      </c>
      <c r="AD24">
        <v>12.7</v>
      </c>
      <c r="AE24">
        <v>-3.8170000000000002</v>
      </c>
    </row>
    <row r="25" spans="1:31">
      <c r="A25" s="2" t="s">
        <v>84</v>
      </c>
      <c r="B25" s="2" t="s">
        <v>76</v>
      </c>
      <c r="C25" s="2" t="s">
        <v>44</v>
      </c>
      <c r="D25">
        <v>1.1716018090462137</v>
      </c>
      <c r="E25">
        <v>1.1760290817734864</v>
      </c>
      <c r="F25">
        <v>2.76</v>
      </c>
      <c r="G25">
        <v>1.3</v>
      </c>
      <c r="H25">
        <f>1-(((((1-W25)*E25)/F25))+(((W25*E25)/G25)))</f>
        <v>0.54727652643646807</v>
      </c>
      <c r="I25">
        <v>1.9230769230769332E-2</v>
      </c>
      <c r="J25" s="21">
        <v>84.147417542959303</v>
      </c>
      <c r="K25">
        <v>0.43317972350230416</v>
      </c>
      <c r="L25" s="5">
        <v>0.49667409114183309</v>
      </c>
      <c r="M25" s="5"/>
      <c r="N25" s="5"/>
      <c r="O25" s="5"/>
      <c r="P25" s="5"/>
      <c r="Q25" s="5"/>
      <c r="R25" s="5"/>
      <c r="S25">
        <v>5.1100000000000003</v>
      </c>
      <c r="T25">
        <v>0.20899999999999999</v>
      </c>
      <c r="U25">
        <v>2.782</v>
      </c>
      <c r="V25">
        <v>13.3323</v>
      </c>
      <c r="W25">
        <f t="shared" si="1"/>
        <v>5.5640000000000002E-2</v>
      </c>
      <c r="Y25" t="s">
        <v>85</v>
      </c>
      <c r="Z25">
        <v>1.5824270175127375</v>
      </c>
      <c r="AA25">
        <v>5.2599999999999999E-3</v>
      </c>
      <c r="AB25">
        <v>1.2529999999999999</v>
      </c>
      <c r="AC25">
        <v>0.54100000000000004</v>
      </c>
      <c r="AD25">
        <v>0.76</v>
      </c>
      <c r="AE25">
        <v>-2.2719999999999998</v>
      </c>
    </row>
    <row r="26" spans="1:31">
      <c r="A26" s="2" t="s">
        <v>86</v>
      </c>
      <c r="B26" s="2" t="s">
        <v>76</v>
      </c>
      <c r="C26" s="2" t="s">
        <v>44</v>
      </c>
      <c r="D26">
        <v>1.1607009693963242</v>
      </c>
      <c r="E26">
        <v>1.1607009693963242</v>
      </c>
      <c r="F26">
        <v>2.76</v>
      </c>
      <c r="G26">
        <v>1.3</v>
      </c>
      <c r="H26">
        <f>1-(((((1-W26)*E26)/F26))+(((W26*E26)/G26)))</f>
        <v>0.55883541847044782</v>
      </c>
      <c r="I26">
        <v>0</v>
      </c>
      <c r="J26" s="21">
        <v>109.81287730234845</v>
      </c>
      <c r="K26">
        <v>0.66912487708947888</v>
      </c>
      <c r="L26" s="5">
        <v>0.55218092428711896</v>
      </c>
      <c r="M26" s="5"/>
      <c r="N26" s="5"/>
      <c r="O26" s="5"/>
      <c r="P26" s="5"/>
      <c r="Q26" s="5"/>
      <c r="R26" s="5"/>
      <c r="S26">
        <v>5.74</v>
      </c>
      <c r="T26">
        <v>0.187</v>
      </c>
      <c r="U26">
        <v>2.1829999999999998</v>
      </c>
      <c r="V26">
        <v>11.6791</v>
      </c>
      <c r="W26">
        <f t="shared" si="1"/>
        <v>4.3659999999999997E-2</v>
      </c>
      <c r="Y26" t="s">
        <v>87</v>
      </c>
      <c r="Z26">
        <v>1.4938621820059221</v>
      </c>
      <c r="AA26">
        <v>3.0499999999999999E-2</v>
      </c>
      <c r="AB26">
        <v>1.194</v>
      </c>
      <c r="AC26">
        <v>0.51200000000000001</v>
      </c>
      <c r="AD26">
        <v>13.6</v>
      </c>
      <c r="AE26">
        <v>-3.1669999999999998</v>
      </c>
    </row>
    <row r="27" spans="1:31">
      <c r="A27" s="2" t="s">
        <v>88</v>
      </c>
      <c r="B27" s="2" t="s">
        <v>89</v>
      </c>
      <c r="C27" s="2" t="s">
        <v>37</v>
      </c>
      <c r="D27">
        <v>0.72878532475978453</v>
      </c>
      <c r="E27">
        <v>0.73211772475978454</v>
      </c>
      <c r="F27">
        <v>2.5499999999999998</v>
      </c>
      <c r="G27">
        <v>1.3</v>
      </c>
      <c r="H27">
        <f>1-(((((1-W27)*E27)/F27))+(((W27*E27)/G27)))</f>
        <v>0.66094557043911295</v>
      </c>
      <c r="I27">
        <v>4.3750000000000011E-2</v>
      </c>
      <c r="J27" s="21">
        <v>185.19167886642944</v>
      </c>
      <c r="K27" s="4">
        <v>1.1938579650000001</v>
      </c>
      <c r="L27" s="5">
        <v>1.5903838770000001</v>
      </c>
      <c r="M27" s="5"/>
      <c r="N27" s="5"/>
      <c r="O27" s="5"/>
      <c r="P27" s="5"/>
      <c r="Q27" s="5"/>
      <c r="R27" s="5"/>
      <c r="S27">
        <v>5.74</v>
      </c>
      <c r="T27">
        <v>0.84499999999999997</v>
      </c>
      <c r="U27">
        <v>9.4090000000000007</v>
      </c>
      <c r="V27">
        <v>11.1295</v>
      </c>
      <c r="W27">
        <f t="shared" si="1"/>
        <v>0.18818000000000001</v>
      </c>
      <c r="Y27" t="s">
        <v>90</v>
      </c>
      <c r="Z27">
        <v>3.2479732663618068</v>
      </c>
      <c r="AA27">
        <v>0.10340000000000001</v>
      </c>
      <c r="AB27">
        <v>1.284</v>
      </c>
      <c r="AC27">
        <v>0.65700000000000003</v>
      </c>
      <c r="AD27">
        <v>118.9</v>
      </c>
      <c r="AE27">
        <v>-0.89400000000000002</v>
      </c>
    </row>
    <row r="28" spans="1:31">
      <c r="A28" s="2" t="s">
        <v>91</v>
      </c>
      <c r="B28" s="2" t="s">
        <v>89</v>
      </c>
      <c r="C28" s="2" t="s">
        <v>37</v>
      </c>
      <c r="D28">
        <v>0.80535703609692955</v>
      </c>
      <c r="E28">
        <v>0.81949137953127293</v>
      </c>
      <c r="F28">
        <v>2.5499999999999998</v>
      </c>
      <c r="G28">
        <v>1.3</v>
      </c>
      <c r="H28">
        <f>1-(((((1-W28)*E28)/F28))+(((W28*E28)/G28)))</f>
        <v>0.63048725805298034</v>
      </c>
      <c r="I28">
        <v>7.2727272727272793E-2</v>
      </c>
      <c r="J28" s="21">
        <v>171.00578938845777</v>
      </c>
      <c r="K28" s="4">
        <v>1.1301939058171744</v>
      </c>
      <c r="L28" s="5">
        <v>1.8264501385041549</v>
      </c>
      <c r="M28" s="5"/>
      <c r="N28" s="5"/>
      <c r="O28" s="5"/>
      <c r="P28" s="5"/>
      <c r="Q28" s="5"/>
      <c r="R28" s="5"/>
      <c r="S28">
        <v>6.17</v>
      </c>
      <c r="T28">
        <v>0.72899999999999998</v>
      </c>
      <c r="U28">
        <v>7.79</v>
      </c>
      <c r="V28">
        <v>10.6792</v>
      </c>
      <c r="W28">
        <f t="shared" si="1"/>
        <v>0.15579999999999999</v>
      </c>
      <c r="Y28" t="s">
        <v>92</v>
      </c>
      <c r="Z28">
        <v>2.5158314714513494</v>
      </c>
      <c r="AA28">
        <v>0.1108</v>
      </c>
      <c r="AB28">
        <v>1.1679999999999999</v>
      </c>
      <c r="AC28">
        <v>0.625</v>
      </c>
      <c r="AD28">
        <v>1179.8</v>
      </c>
      <c r="AE28">
        <v>2.5710000000000002</v>
      </c>
    </row>
    <row r="29" spans="1:31">
      <c r="A29" s="2" t="s">
        <v>93</v>
      </c>
      <c r="B29" s="2" t="s">
        <v>89</v>
      </c>
      <c r="C29" s="2" t="s">
        <v>37</v>
      </c>
      <c r="D29">
        <v>0.76942364269953267</v>
      </c>
      <c r="E29">
        <v>0.77954485482074476</v>
      </c>
      <c r="F29">
        <v>2.5499999999999998</v>
      </c>
      <c r="G29">
        <v>1.3</v>
      </c>
      <c r="H29">
        <f>1-(((((1-W29)*E29)/F29))+(((W29*E29)/G29)))</f>
        <v>0.63804662427146597</v>
      </c>
      <c r="I29">
        <v>5.2631578947368404E-2</v>
      </c>
      <c r="J29" s="21">
        <v>224.33094332259907</v>
      </c>
      <c r="K29">
        <v>1.0103721781574129</v>
      </c>
      <c r="L29" s="5">
        <v>1.4300329469188526</v>
      </c>
      <c r="M29" s="5"/>
      <c r="N29" s="5"/>
      <c r="O29" s="5"/>
      <c r="P29" s="5"/>
      <c r="Q29" s="5"/>
      <c r="R29" s="5"/>
      <c r="S29">
        <v>5.76</v>
      </c>
      <c r="T29">
        <v>0.85299999999999998</v>
      </c>
      <c r="U29">
        <v>9.5679999999999996</v>
      </c>
      <c r="V29">
        <v>11.2178</v>
      </c>
      <c r="W29">
        <f t="shared" si="1"/>
        <v>0.19136</v>
      </c>
      <c r="Y29" t="s">
        <v>94</v>
      </c>
      <c r="Z29">
        <v>2.1986900700929448</v>
      </c>
      <c r="AA29" s="4"/>
      <c r="AB29" s="4"/>
      <c r="AC29" s="4"/>
      <c r="AD29" s="4"/>
      <c r="AE29" s="4"/>
    </row>
    <row r="30" spans="1:31">
      <c r="A30" s="2" t="s">
        <v>95</v>
      </c>
      <c r="B30" s="2" t="s">
        <v>89</v>
      </c>
      <c r="C30" s="2" t="s">
        <v>44</v>
      </c>
      <c r="D30">
        <v>0.99539801771451986</v>
      </c>
      <c r="E30">
        <v>1.0554525631690654</v>
      </c>
      <c r="F30">
        <v>2.5499999999999998</v>
      </c>
      <c r="G30">
        <v>1.3</v>
      </c>
      <c r="H30">
        <f>1-(((((1-W30)*E30)/F30))+(((W30*E30)/G30)))</f>
        <v>0.57094977743211062</v>
      </c>
      <c r="I30">
        <v>6.4220183486238633E-2</v>
      </c>
      <c r="J30" s="21">
        <v>187.93792537816719</v>
      </c>
      <c r="K30">
        <v>0.99081632653061213</v>
      </c>
      <c r="L30">
        <v>1.6323091836734693</v>
      </c>
      <c r="M30" s="5"/>
      <c r="N30" s="5"/>
      <c r="O30" s="5"/>
      <c r="P30" s="5"/>
      <c r="Q30" s="5"/>
      <c r="R30" s="5"/>
      <c r="S30">
        <v>5.73</v>
      </c>
      <c r="T30">
        <v>0.21099999999999999</v>
      </c>
      <c r="U30">
        <v>1.903</v>
      </c>
      <c r="V30">
        <v>9.0294000000000008</v>
      </c>
      <c r="W30">
        <f t="shared" si="1"/>
        <v>3.8060000000000004E-2</v>
      </c>
      <c r="Y30" t="s">
        <v>96</v>
      </c>
      <c r="Z30">
        <v>1.430671558636988</v>
      </c>
      <c r="AA30">
        <v>0.1082</v>
      </c>
      <c r="AB30">
        <v>1.117</v>
      </c>
      <c r="AC30">
        <v>0.59599999999999997</v>
      </c>
      <c r="AD30">
        <v>37.799999999999997</v>
      </c>
      <c r="AE30">
        <v>-4.0620000000000003</v>
      </c>
    </row>
    <row r="31" spans="1:31">
      <c r="A31" s="2" t="s">
        <v>97</v>
      </c>
      <c r="B31" s="2" t="s">
        <v>89</v>
      </c>
      <c r="C31" s="2" t="s">
        <v>44</v>
      </c>
      <c r="D31">
        <v>1.1484486343156117</v>
      </c>
      <c r="E31">
        <v>1.184941563608541</v>
      </c>
      <c r="F31">
        <v>2.5499999999999998</v>
      </c>
      <c r="G31">
        <v>1.3</v>
      </c>
      <c r="H31">
        <f>1-(((((1-W31)*E31)/F31))+(((W31*E31)/G31)))</f>
        <v>0.51589864762167803</v>
      </c>
      <c r="I31">
        <v>6.7073170731707252E-2</v>
      </c>
      <c r="J31" s="22">
        <v>181.66529149420214</v>
      </c>
      <c r="K31" s="5">
        <v>0.99833978970669601</v>
      </c>
      <c r="L31" s="5">
        <v>1.705664914222468</v>
      </c>
      <c r="M31" s="5"/>
      <c r="N31" s="5"/>
      <c r="O31" s="5"/>
      <c r="P31" s="5"/>
      <c r="Q31" s="5"/>
      <c r="R31" s="5"/>
      <c r="S31" s="5">
        <v>5.98</v>
      </c>
      <c r="T31">
        <v>0.23699999999999999</v>
      </c>
      <c r="U31">
        <v>2.173</v>
      </c>
      <c r="V31">
        <v>9.1633999999999993</v>
      </c>
      <c r="W31">
        <f t="shared" si="1"/>
        <v>4.3459999999999999E-2</v>
      </c>
      <c r="Y31" t="s">
        <v>98</v>
      </c>
      <c r="Z31">
        <v>0.22010808804005508</v>
      </c>
      <c r="AA31">
        <v>2.8199999999999999E-2</v>
      </c>
      <c r="AB31">
        <v>1.137</v>
      </c>
      <c r="AC31">
        <v>0.62</v>
      </c>
      <c r="AD31">
        <v>5.93</v>
      </c>
      <c r="AE31">
        <v>1.22</v>
      </c>
    </row>
    <row r="32" spans="1:31">
      <c r="A32" s="2" t="s">
        <v>99</v>
      </c>
      <c r="B32" s="2" t="s">
        <v>89</v>
      </c>
      <c r="C32" s="2" t="s">
        <v>44</v>
      </c>
      <c r="D32">
        <v>0.79376941283393765</v>
      </c>
      <c r="E32">
        <v>0.79376941283393765</v>
      </c>
      <c r="F32">
        <v>2.5499999999999998</v>
      </c>
      <c r="G32">
        <v>1.3</v>
      </c>
      <c r="H32">
        <f>1-(((((1-W32)*E32)/F32))+(((W32*E32)/G32)))</f>
        <v>0.67314179879669178</v>
      </c>
      <c r="I32">
        <v>0</v>
      </c>
      <c r="J32" s="22">
        <v>135.67031253196504</v>
      </c>
      <c r="K32" s="5">
        <v>0.97480755799999996</v>
      </c>
      <c r="L32" s="5">
        <v>1.479207838</v>
      </c>
      <c r="M32" s="5"/>
      <c r="N32" s="5"/>
      <c r="O32" s="5"/>
      <c r="P32" s="5"/>
      <c r="Q32" s="5"/>
      <c r="R32" s="5"/>
      <c r="S32" s="5">
        <v>5.95</v>
      </c>
      <c r="T32">
        <v>0.27500000000000002</v>
      </c>
      <c r="U32">
        <v>2.6019999999999999</v>
      </c>
      <c r="V32">
        <v>9.4663000000000004</v>
      </c>
      <c r="W32">
        <f t="shared" si="1"/>
        <v>5.2039999999999996E-2</v>
      </c>
      <c r="Y32">
        <v>158.012</v>
      </c>
      <c r="Z32">
        <v>2.1986900700929448</v>
      </c>
      <c r="AA32">
        <v>0.19689999999999999</v>
      </c>
      <c r="AB32">
        <v>1.1359999999999999</v>
      </c>
      <c r="AC32">
        <v>0.63200000000000001</v>
      </c>
      <c r="AD32">
        <v>520.20000000000005</v>
      </c>
      <c r="AE32">
        <v>0.49399999999999999</v>
      </c>
    </row>
    <row r="33" spans="1:31">
      <c r="A33" s="2" t="s">
        <v>100</v>
      </c>
      <c r="B33" s="2" t="s">
        <v>101</v>
      </c>
      <c r="C33" s="2" t="s">
        <v>37</v>
      </c>
      <c r="D33">
        <v>0.92075826092764212</v>
      </c>
      <c r="E33">
        <v>0.94386746092764218</v>
      </c>
      <c r="F33">
        <v>2.5499999999999998</v>
      </c>
      <c r="G33">
        <v>1.3</v>
      </c>
      <c r="H33">
        <f>1-(((((1-W33)*E33)/F33))+(((W33*E33)/G33)))</f>
        <v>0.57146566553373424</v>
      </c>
      <c r="I33">
        <v>8.383233532934134E-2</v>
      </c>
      <c r="J33" s="22">
        <v>189.55841744183655</v>
      </c>
      <c r="K33" s="5">
        <v>0.989424207</v>
      </c>
      <c r="L33" s="5">
        <v>1.327720623</v>
      </c>
      <c r="M33" s="5"/>
      <c r="N33" s="5"/>
      <c r="O33" s="5"/>
      <c r="P33" s="5"/>
      <c r="Q33" s="5"/>
      <c r="R33" s="5"/>
      <c r="S33" s="5">
        <v>6.03</v>
      </c>
      <c r="T33">
        <v>0.627</v>
      </c>
      <c r="U33">
        <v>8.2029999999999994</v>
      </c>
      <c r="V33">
        <v>13.083500000000001</v>
      </c>
      <c r="W33">
        <f t="shared" si="1"/>
        <v>0.16405999999999998</v>
      </c>
      <c r="Y33" t="s">
        <v>102</v>
      </c>
      <c r="Z33">
        <v>2.9078443643401481</v>
      </c>
      <c r="AA33">
        <v>0.121</v>
      </c>
      <c r="AB33">
        <v>1.125</v>
      </c>
      <c r="AC33">
        <v>0.59099999999999997</v>
      </c>
      <c r="AD33">
        <v>131.30000000000001</v>
      </c>
      <c r="AE33">
        <v>-2.64</v>
      </c>
    </row>
    <row r="34" spans="1:31">
      <c r="A34" s="2" t="s">
        <v>103</v>
      </c>
      <c r="B34" s="2" t="s">
        <v>101</v>
      </c>
      <c r="C34" s="2" t="s">
        <v>37</v>
      </c>
      <c r="D34">
        <v>0.88390071662645164</v>
      </c>
      <c r="E34">
        <v>0.92155829238402742</v>
      </c>
      <c r="F34">
        <v>2.5499999999999998</v>
      </c>
      <c r="G34">
        <v>1.3</v>
      </c>
      <c r="H34">
        <f>1-(((((1-W34)*E34)/F34))+(((W34*E34)/G34)))</f>
        <v>0.58423543193597527</v>
      </c>
      <c r="I34">
        <v>0.11046511627906984</v>
      </c>
      <c r="J34" s="22">
        <v>195.56408142677165</v>
      </c>
      <c r="K34" s="5">
        <v>1.0267857142857142</v>
      </c>
      <c r="L34" s="5">
        <v>1.5395880952380951</v>
      </c>
      <c r="M34" s="5"/>
      <c r="N34" s="5"/>
      <c r="O34" s="5"/>
      <c r="P34" s="5"/>
      <c r="Q34" s="5"/>
      <c r="R34" s="5"/>
      <c r="S34" s="5">
        <v>5.77</v>
      </c>
      <c r="T34">
        <v>0.625</v>
      </c>
      <c r="U34">
        <v>7.8230000000000004</v>
      </c>
      <c r="V34">
        <v>12.517200000000001</v>
      </c>
      <c r="W34">
        <f t="shared" si="1"/>
        <v>0.15646000000000002</v>
      </c>
      <c r="Y34" t="s">
        <v>104</v>
      </c>
      <c r="Z34">
        <v>1.8562937739781087</v>
      </c>
      <c r="AA34">
        <v>0.13650000000000001</v>
      </c>
      <c r="AB34">
        <v>1.143</v>
      </c>
      <c r="AC34">
        <v>0.54400000000000004</v>
      </c>
      <c r="AD34">
        <v>331.7</v>
      </c>
      <c r="AE34">
        <v>-1.3480000000000001</v>
      </c>
    </row>
    <row r="35" spans="1:31">
      <c r="A35" s="2" t="s">
        <v>105</v>
      </c>
      <c r="B35" s="2" t="s">
        <v>101</v>
      </c>
      <c r="C35" s="2" t="s">
        <v>37</v>
      </c>
      <c r="D35">
        <v>0.83129788981767261</v>
      </c>
      <c r="E35">
        <v>0.83637364739343012</v>
      </c>
      <c r="F35">
        <v>2.5499999999999998</v>
      </c>
      <c r="G35">
        <v>1.3</v>
      </c>
      <c r="H35">
        <f>1-(((((1-W35)*E35)/F35))+(((W35*E35)/G35)))</f>
        <v>0.6217333031083605</v>
      </c>
      <c r="I35">
        <v>3.7735849056603807E-2</v>
      </c>
      <c r="J35" s="21">
        <v>206.82442218228971</v>
      </c>
      <c r="K35">
        <v>1.0578034682080923</v>
      </c>
      <c r="L35">
        <v>1.7222915863840718</v>
      </c>
      <c r="M35" s="5"/>
      <c r="N35" s="5"/>
      <c r="O35" s="5"/>
      <c r="P35" s="5"/>
      <c r="Q35" s="5"/>
      <c r="R35" s="5"/>
      <c r="S35">
        <v>5.92</v>
      </c>
      <c r="T35">
        <v>0.63</v>
      </c>
      <c r="U35">
        <v>7.9710000000000001</v>
      </c>
      <c r="V35">
        <v>12.652799999999999</v>
      </c>
      <c r="W35">
        <f t="shared" si="1"/>
        <v>0.15942000000000001</v>
      </c>
      <c r="Y35" t="s">
        <v>106</v>
      </c>
      <c r="Z35">
        <v>2.4084875782818838</v>
      </c>
      <c r="AA35">
        <v>4.0899999999999999E-2</v>
      </c>
      <c r="AB35">
        <v>1.117</v>
      </c>
      <c r="AC35">
        <v>0.61399999999999999</v>
      </c>
      <c r="AD35">
        <v>16.5</v>
      </c>
      <c r="AE35">
        <v>-3.5659999999999998</v>
      </c>
    </row>
    <row r="36" spans="1:31">
      <c r="A36" s="2" t="s">
        <v>107</v>
      </c>
      <c r="B36" s="2" t="s">
        <v>101</v>
      </c>
      <c r="C36" s="2" t="s">
        <v>44</v>
      </c>
      <c r="D36">
        <v>1.1434609116644305</v>
      </c>
      <c r="E36">
        <v>1.2137639419674608</v>
      </c>
      <c r="F36">
        <v>2.5499999999999998</v>
      </c>
      <c r="G36">
        <v>1.3</v>
      </c>
      <c r="H36">
        <f>1-(((((1-W36)*E36)/F36))+(((W36*E36)/G36)))</f>
        <v>0.50653996721324401</v>
      </c>
      <c r="I36">
        <v>9.4674556213017735E-2</v>
      </c>
      <c r="J36" s="21">
        <v>133.44692807425585</v>
      </c>
      <c r="K36">
        <v>0.87625418060200655</v>
      </c>
      <c r="L36">
        <v>1.3335224558050645</v>
      </c>
      <c r="S36">
        <v>5.94</v>
      </c>
      <c r="T36">
        <v>0.20200000000000001</v>
      </c>
      <c r="U36">
        <v>1.909</v>
      </c>
      <c r="V36">
        <v>9.4620999999999995</v>
      </c>
      <c r="W36">
        <f t="shared" si="1"/>
        <v>3.8179999999999999E-2</v>
      </c>
      <c r="Y36" t="s">
        <v>108</v>
      </c>
      <c r="Z36">
        <v>2.3157374004467965</v>
      </c>
      <c r="AA36">
        <v>8.2100000000000006E-2</v>
      </c>
      <c r="AB36">
        <v>1.1259999999999999</v>
      </c>
      <c r="AC36">
        <v>0.51800000000000002</v>
      </c>
      <c r="AD36">
        <v>41.1</v>
      </c>
      <c r="AE36">
        <v>1.3560000000000001</v>
      </c>
    </row>
    <row r="37" spans="1:31">
      <c r="A37" s="2" t="s">
        <v>109</v>
      </c>
      <c r="B37" s="2" t="s">
        <v>101</v>
      </c>
      <c r="C37" s="2" t="s">
        <v>44</v>
      </c>
      <c r="D37">
        <v>1.027131700010101</v>
      </c>
      <c r="E37">
        <v>1.0293973565757575</v>
      </c>
      <c r="F37">
        <v>2.5499999999999998</v>
      </c>
      <c r="G37">
        <v>1.3</v>
      </c>
      <c r="H37">
        <f>1-(((((1-W37)*E37)/F37))+(((W37*E37)/G37)))</f>
        <v>0.57272246524454662</v>
      </c>
      <c r="I37">
        <v>1.2903225806451568E-2</v>
      </c>
      <c r="J37" s="21">
        <v>141.24499338592383</v>
      </c>
      <c r="K37">
        <v>0.99637899818949915</v>
      </c>
      <c r="L37">
        <v>1.6451910078455039</v>
      </c>
      <c r="S37">
        <v>5.43</v>
      </c>
      <c r="T37">
        <v>0.30599999999999999</v>
      </c>
      <c r="U37">
        <v>3.0390000000000001</v>
      </c>
      <c r="V37">
        <v>9.93</v>
      </c>
      <c r="W37">
        <f t="shared" si="1"/>
        <v>6.0780000000000001E-2</v>
      </c>
      <c r="Y37" t="s">
        <v>110</v>
      </c>
      <c r="Z37">
        <v>1.9361868933440203</v>
      </c>
      <c r="AA37">
        <v>5.1499999999999997E-2</v>
      </c>
      <c r="AB37">
        <v>1.135</v>
      </c>
      <c r="AC37">
        <v>0.60599999999999998</v>
      </c>
      <c r="AD37">
        <v>20.3</v>
      </c>
      <c r="AE37">
        <v>3.0019999999999998</v>
      </c>
    </row>
    <row r="38" spans="1:31">
      <c r="A38" s="2" t="s">
        <v>111</v>
      </c>
      <c r="B38" s="2" t="s">
        <v>101</v>
      </c>
      <c r="C38" s="2" t="s">
        <v>44</v>
      </c>
      <c r="D38">
        <v>1.0113264856723161</v>
      </c>
      <c r="E38">
        <v>1.0224375967834272</v>
      </c>
      <c r="F38">
        <v>2.5499999999999998</v>
      </c>
      <c r="G38">
        <v>1.3</v>
      </c>
      <c r="H38">
        <f>1-(((((1-W38)*E38)/F38))+(((W38*E38)/G38)))</f>
        <v>0.58335282396536581</v>
      </c>
      <c r="I38">
        <v>5.5555555555555525E-2</v>
      </c>
      <c r="J38" s="21">
        <v>142.03514586090296</v>
      </c>
      <c r="K38">
        <v>0.99115603284902087</v>
      </c>
      <c r="L38">
        <v>1.514604864181933</v>
      </c>
      <c r="S38">
        <v>5.58</v>
      </c>
      <c r="T38">
        <v>0.21</v>
      </c>
      <c r="U38">
        <v>2.0350000000000001</v>
      </c>
      <c r="V38">
        <v>9.6974</v>
      </c>
      <c r="W38">
        <f t="shared" si="1"/>
        <v>4.07E-2</v>
      </c>
      <c r="Y38">
        <v>256.14600000000002</v>
      </c>
      <c r="Z38">
        <v>2.4084875782818838</v>
      </c>
      <c r="AA38">
        <v>0.14910000000000001</v>
      </c>
      <c r="AB38">
        <v>1.149</v>
      </c>
      <c r="AC38">
        <v>0.628</v>
      </c>
      <c r="AD38">
        <v>18.5</v>
      </c>
      <c r="AE38">
        <v>-4.4939999999999998</v>
      </c>
    </row>
  </sheetData>
  <phoneticPr fontId="6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6EB0-BC85-4022-BD1A-FDC026F6227E}">
  <dimension ref="A1:S97"/>
  <sheetViews>
    <sheetView workbookViewId="0">
      <selection activeCell="C27" sqref="C27"/>
    </sheetView>
  </sheetViews>
  <sheetFormatPr defaultRowHeight="15"/>
  <cols>
    <col min="1" max="1" width="29.42578125" bestFit="1" customWidth="1"/>
  </cols>
  <sheetData>
    <row r="1" spans="1:14">
      <c r="A1" t="s">
        <v>112</v>
      </c>
    </row>
    <row r="3" spans="1:14">
      <c r="A3" t="s">
        <v>113</v>
      </c>
    </row>
    <row r="4" spans="1:14">
      <c r="A4" t="s">
        <v>114</v>
      </c>
      <c r="B4" s="11">
        <v>0.99399999999999999</v>
      </c>
      <c r="C4" t="s">
        <v>115</v>
      </c>
      <c r="D4" t="s">
        <v>115</v>
      </c>
      <c r="E4" t="s">
        <v>115</v>
      </c>
      <c r="F4" t="s">
        <v>115</v>
      </c>
      <c r="G4" t="s">
        <v>115</v>
      </c>
      <c r="H4" t="s">
        <v>115</v>
      </c>
      <c r="I4" t="s">
        <v>115</v>
      </c>
    </row>
    <row r="5" spans="1:14">
      <c r="A5" t="s">
        <v>116</v>
      </c>
      <c r="B5">
        <v>-0.23300000000000001</v>
      </c>
      <c r="C5">
        <v>-0.158</v>
      </c>
      <c r="D5" t="s">
        <v>115</v>
      </c>
      <c r="E5" t="s">
        <v>115</v>
      </c>
      <c r="F5" t="s">
        <v>115</v>
      </c>
      <c r="G5" t="s">
        <v>115</v>
      </c>
      <c r="H5" t="s">
        <v>115</v>
      </c>
      <c r="I5" t="s">
        <v>115</v>
      </c>
    </row>
    <row r="6" spans="1:14">
      <c r="A6" t="s">
        <v>117</v>
      </c>
      <c r="B6" s="11">
        <v>-0.95799999999999996</v>
      </c>
      <c r="C6" s="11">
        <v>-0.96299999999999997</v>
      </c>
      <c r="D6">
        <v>0.11700000000000001</v>
      </c>
      <c r="E6" t="s">
        <v>115</v>
      </c>
      <c r="F6" t="s">
        <v>115</v>
      </c>
      <c r="G6" t="s">
        <v>115</v>
      </c>
      <c r="H6" t="s">
        <v>115</v>
      </c>
      <c r="I6" t="s">
        <v>115</v>
      </c>
    </row>
    <row r="7" spans="1:14">
      <c r="A7" t="s">
        <v>118</v>
      </c>
      <c r="B7" s="7">
        <v>-0.501</v>
      </c>
      <c r="C7">
        <v>-0.44400000000000001</v>
      </c>
      <c r="D7" s="7">
        <v>0.52200000000000002</v>
      </c>
      <c r="E7" s="15">
        <v>0.45800000000000002</v>
      </c>
      <c r="F7" t="s">
        <v>115</v>
      </c>
      <c r="G7" t="s">
        <v>115</v>
      </c>
      <c r="H7" t="s">
        <v>115</v>
      </c>
      <c r="I7" t="s">
        <v>115</v>
      </c>
    </row>
    <row r="8" spans="1:14">
      <c r="A8" t="s">
        <v>119</v>
      </c>
      <c r="B8" s="7">
        <v>-0.55300000000000005</v>
      </c>
      <c r="C8" s="7">
        <v>-0.54200000000000004</v>
      </c>
      <c r="D8" s="15">
        <v>0.31</v>
      </c>
      <c r="E8" s="15">
        <v>0.47099999999999997</v>
      </c>
      <c r="F8">
        <v>0.252</v>
      </c>
      <c r="G8" t="s">
        <v>115</v>
      </c>
      <c r="H8" t="s">
        <v>115</v>
      </c>
      <c r="I8" t="s">
        <v>115</v>
      </c>
    </row>
    <row r="9" spans="1:14">
      <c r="A9" t="s">
        <v>120</v>
      </c>
      <c r="B9" s="15">
        <v>-0.312</v>
      </c>
      <c r="C9" s="15">
        <v>-0.3</v>
      </c>
      <c r="D9" s="15">
        <v>0.28599999999999998</v>
      </c>
      <c r="E9">
        <v>0.245</v>
      </c>
      <c r="F9">
        <v>0.251</v>
      </c>
      <c r="G9" s="11">
        <v>0.82599999999999996</v>
      </c>
      <c r="H9" t="s">
        <v>115</v>
      </c>
      <c r="I9" t="s">
        <v>115</v>
      </c>
    </row>
    <row r="10" spans="1:14">
      <c r="A10" t="s">
        <v>121</v>
      </c>
      <c r="B10">
        <v>0.26500000000000001</v>
      </c>
      <c r="C10">
        <v>0.26900000000000002</v>
      </c>
      <c r="D10">
        <v>0.113</v>
      </c>
      <c r="E10">
        <v>-0.27900000000000003</v>
      </c>
      <c r="F10">
        <v>-0.154</v>
      </c>
      <c r="G10">
        <v>-0.1</v>
      </c>
      <c r="H10">
        <v>-6.2E-2</v>
      </c>
      <c r="I10" t="s">
        <v>115</v>
      </c>
    </row>
    <row r="11" spans="1:14">
      <c r="A11" t="s">
        <v>122</v>
      </c>
      <c r="B11" s="11">
        <v>-0.82099999999999995</v>
      </c>
      <c r="C11" s="11">
        <v>-0.82299999999999995</v>
      </c>
      <c r="D11">
        <v>0.26300000000000001</v>
      </c>
      <c r="E11" s="7">
        <v>0.70299999999999996</v>
      </c>
      <c r="F11" s="15">
        <v>0.42299999999999999</v>
      </c>
      <c r="G11" s="7">
        <v>0.51700000000000002</v>
      </c>
      <c r="H11">
        <v>0.23799999999999999</v>
      </c>
      <c r="I11">
        <v>-0.129</v>
      </c>
    </row>
    <row r="12" spans="1:14">
      <c r="A12" t="s">
        <v>24</v>
      </c>
      <c r="B12" s="11">
        <v>-0.79900000000000004</v>
      </c>
      <c r="C12" s="11">
        <v>-0.80700000000000005</v>
      </c>
      <c r="D12">
        <v>0.20499999999999999</v>
      </c>
      <c r="E12" s="7">
        <v>0.67600000000000005</v>
      </c>
      <c r="F12" s="15">
        <v>0.32100000000000001</v>
      </c>
      <c r="G12" s="15">
        <v>0.46200000000000002</v>
      </c>
      <c r="H12">
        <v>0.18</v>
      </c>
      <c r="I12">
        <v>-0.112</v>
      </c>
      <c r="J12" s="11">
        <v>0.97799999999999998</v>
      </c>
      <c r="K12" t="s">
        <v>115</v>
      </c>
      <c r="L12" t="s">
        <v>115</v>
      </c>
      <c r="M12" t="s">
        <v>115</v>
      </c>
      <c r="N12" t="s">
        <v>115</v>
      </c>
    </row>
    <row r="13" spans="1:14">
      <c r="A13" t="s">
        <v>25</v>
      </c>
      <c r="B13">
        <v>-0.40799999999999997</v>
      </c>
      <c r="C13">
        <v>-0.441</v>
      </c>
      <c r="D13">
        <v>-0.19800000000000001</v>
      </c>
      <c r="E13" s="15">
        <v>0.371</v>
      </c>
      <c r="F13">
        <v>-0.18099999999999999</v>
      </c>
      <c r="G13">
        <v>3.3000000000000002E-2</v>
      </c>
      <c r="H13">
        <v>-0.16700000000000001</v>
      </c>
      <c r="I13">
        <v>-0.22700000000000001</v>
      </c>
      <c r="J13" s="15">
        <v>0.44700000000000001</v>
      </c>
      <c r="K13" s="7">
        <v>0.60699999999999998</v>
      </c>
      <c r="L13" t="s">
        <v>115</v>
      </c>
      <c r="M13" t="s">
        <v>115</v>
      </c>
      <c r="N13" t="s">
        <v>115</v>
      </c>
    </row>
    <row r="14" spans="1:14">
      <c r="A14" t="s">
        <v>123</v>
      </c>
      <c r="B14" s="11">
        <v>-0.79900000000000004</v>
      </c>
      <c r="C14" s="11">
        <v>-0.80700000000000005</v>
      </c>
      <c r="D14">
        <v>0.20499999999999999</v>
      </c>
      <c r="E14" s="7">
        <v>0.67600000000000005</v>
      </c>
      <c r="F14" s="15">
        <v>0.32100000000000001</v>
      </c>
      <c r="G14" s="15">
        <v>0.46200000000000002</v>
      </c>
      <c r="H14">
        <v>0.18</v>
      </c>
      <c r="I14">
        <v>-0.112</v>
      </c>
      <c r="J14" s="11">
        <v>0.97799999999999998</v>
      </c>
      <c r="K14" s="7">
        <v>1</v>
      </c>
      <c r="L14" s="7">
        <v>0.60699999999999998</v>
      </c>
      <c r="M14" t="s">
        <v>115</v>
      </c>
      <c r="N14" t="s">
        <v>115</v>
      </c>
    </row>
    <row r="15" spans="1:14">
      <c r="A15" t="s">
        <v>124</v>
      </c>
      <c r="B15" s="7">
        <v>-0.60099999999999998</v>
      </c>
      <c r="C15" s="7">
        <v>-0.624</v>
      </c>
      <c r="D15">
        <v>-8.9999999999999993E-3</v>
      </c>
      <c r="E15" s="7">
        <v>0.61099999999999999</v>
      </c>
      <c r="F15">
        <v>2.5000000000000001E-2</v>
      </c>
      <c r="G15" s="15">
        <v>0.315</v>
      </c>
      <c r="H15">
        <v>0.104</v>
      </c>
      <c r="I15">
        <v>1.6E-2</v>
      </c>
      <c r="J15" s="15">
        <v>0.437</v>
      </c>
      <c r="K15" s="15">
        <v>0.49</v>
      </c>
      <c r="L15" s="15">
        <v>0.49399999999999999</v>
      </c>
      <c r="M15" s="15">
        <v>0.49</v>
      </c>
      <c r="N15" t="s">
        <v>115</v>
      </c>
    </row>
    <row r="16" spans="1:14">
      <c r="A16" t="s">
        <v>125</v>
      </c>
      <c r="B16" s="7">
        <v>-0.51800000000000002</v>
      </c>
      <c r="C16" s="7">
        <v>-0.50600000000000001</v>
      </c>
      <c r="D16" s="15">
        <v>0.32900000000000001</v>
      </c>
      <c r="E16" s="7">
        <v>0.56000000000000005</v>
      </c>
      <c r="F16">
        <v>0.20799999999999999</v>
      </c>
      <c r="G16">
        <v>0.26700000000000002</v>
      </c>
      <c r="H16">
        <v>0.14099999999999999</v>
      </c>
      <c r="I16">
        <v>0.14099999999999999</v>
      </c>
      <c r="J16">
        <v>0.253</v>
      </c>
      <c r="K16">
        <v>0.23</v>
      </c>
      <c r="L16">
        <v>4.7E-2</v>
      </c>
      <c r="M16">
        <v>0.23</v>
      </c>
      <c r="N16" s="7">
        <v>0.56699999999999995</v>
      </c>
    </row>
    <row r="17" spans="1:19">
      <c r="A17" t="s">
        <v>126</v>
      </c>
      <c r="B17">
        <v>-0.246</v>
      </c>
      <c r="C17">
        <v>-0.27400000000000002</v>
      </c>
      <c r="D17" s="15">
        <v>-0.315</v>
      </c>
      <c r="E17">
        <v>0.25900000000000001</v>
      </c>
      <c r="F17">
        <v>-5.3999999999999999E-2</v>
      </c>
      <c r="G17">
        <v>-0.14099999999999999</v>
      </c>
      <c r="H17" s="15">
        <v>-0.311</v>
      </c>
      <c r="I17" s="15">
        <v>-0.33300000000000002</v>
      </c>
      <c r="J17" s="15">
        <v>0.36699999999999999</v>
      </c>
      <c r="K17" s="15">
        <v>0.36499999999999999</v>
      </c>
      <c r="L17" s="15">
        <v>0.36599999999999999</v>
      </c>
      <c r="M17" s="15">
        <v>0.36499999999999999</v>
      </c>
      <c r="N17">
        <v>0.161</v>
      </c>
      <c r="O17">
        <v>-0.20599999999999999</v>
      </c>
      <c r="P17" t="s">
        <v>115</v>
      </c>
      <c r="Q17" t="s">
        <v>115</v>
      </c>
      <c r="R17" t="s">
        <v>115</v>
      </c>
    </row>
    <row r="18" spans="1:19">
      <c r="A18" t="s">
        <v>127</v>
      </c>
      <c r="B18" s="7">
        <v>-0.69499999999999995</v>
      </c>
      <c r="C18" s="7">
        <v>-0.68300000000000005</v>
      </c>
      <c r="D18">
        <v>0.22500000000000001</v>
      </c>
      <c r="E18" s="7">
        <v>0.69299999999999995</v>
      </c>
      <c r="F18" s="7">
        <v>0.51800000000000002</v>
      </c>
      <c r="G18" s="15">
        <v>0.46800000000000003</v>
      </c>
      <c r="H18" s="15">
        <v>0.30399999999999999</v>
      </c>
      <c r="I18">
        <v>-0.151</v>
      </c>
      <c r="J18" s="7">
        <v>0.58599999999999997</v>
      </c>
      <c r="K18" s="15">
        <v>0.48799999999999999</v>
      </c>
      <c r="L18">
        <v>2.7E-2</v>
      </c>
      <c r="M18" s="15">
        <v>0.48799999999999999</v>
      </c>
      <c r="N18" s="15">
        <v>0.34799999999999998</v>
      </c>
      <c r="O18" s="15">
        <v>0.42799999999999999</v>
      </c>
      <c r="P18">
        <v>6.5000000000000002E-2</v>
      </c>
      <c r="Q18" t="s">
        <v>115</v>
      </c>
      <c r="R18" t="s">
        <v>115</v>
      </c>
    </row>
    <row r="19" spans="1:19">
      <c r="A19" t="s">
        <v>128</v>
      </c>
      <c r="B19">
        <v>-0.29199999999999998</v>
      </c>
      <c r="C19">
        <v>-0.3</v>
      </c>
      <c r="D19">
        <v>0.122</v>
      </c>
      <c r="E19">
        <v>0.33400000000000002</v>
      </c>
      <c r="F19">
        <v>-7.9000000000000001E-2</v>
      </c>
      <c r="G19">
        <v>0.1</v>
      </c>
      <c r="H19">
        <v>-1.2E-2</v>
      </c>
      <c r="I19">
        <v>0.16900000000000001</v>
      </c>
      <c r="J19">
        <v>0.18</v>
      </c>
      <c r="K19">
        <v>0.19500000000000001</v>
      </c>
      <c r="L19">
        <v>0.19500000000000001</v>
      </c>
      <c r="M19">
        <v>0.19500000000000001</v>
      </c>
      <c r="N19" s="15">
        <v>0.375</v>
      </c>
      <c r="O19" s="7">
        <v>0.72199999999999998</v>
      </c>
      <c r="P19">
        <v>-6.9000000000000006E-2</v>
      </c>
      <c r="Q19">
        <v>0.16500000000000001</v>
      </c>
      <c r="R19" t="s">
        <v>115</v>
      </c>
    </row>
    <row r="20" spans="1:19">
      <c r="A20" t="s">
        <v>129</v>
      </c>
      <c r="B20">
        <v>-2.3E-2</v>
      </c>
      <c r="C20">
        <v>-3.6999999999999998E-2</v>
      </c>
      <c r="D20">
        <v>-0.126</v>
      </c>
      <c r="E20">
        <v>-2.3E-2</v>
      </c>
      <c r="F20">
        <v>-0.14099999999999999</v>
      </c>
      <c r="G20">
        <v>0.23100000000000001</v>
      </c>
      <c r="H20">
        <v>0.16700000000000001</v>
      </c>
      <c r="I20">
        <v>5.8999999999999997E-2</v>
      </c>
      <c r="J20">
        <v>0.14499999999999999</v>
      </c>
      <c r="K20">
        <v>9.2999999999999999E-2</v>
      </c>
      <c r="L20">
        <v>-9.1999999999999998E-2</v>
      </c>
      <c r="M20">
        <v>9.2999999999999999E-2</v>
      </c>
      <c r="N20">
        <v>4.0000000000000001E-3</v>
      </c>
      <c r="O20">
        <v>-0.193</v>
      </c>
      <c r="P20">
        <v>5.2999999999999999E-2</v>
      </c>
      <c r="Q20">
        <v>0.20200000000000001</v>
      </c>
      <c r="R20">
        <v>0.01</v>
      </c>
    </row>
    <row r="21" spans="1:19">
      <c r="B21" t="s">
        <v>113</v>
      </c>
      <c r="C21" t="s">
        <v>114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  <c r="I21" t="s">
        <v>121</v>
      </c>
      <c r="J21" t="s">
        <v>122</v>
      </c>
      <c r="K21" t="s">
        <v>24</v>
      </c>
      <c r="L21" t="s">
        <v>25</v>
      </c>
      <c r="M21" t="s">
        <v>123</v>
      </c>
      <c r="N21" t="s">
        <v>124</v>
      </c>
      <c r="O21" t="s">
        <v>125</v>
      </c>
      <c r="P21" t="s">
        <v>126</v>
      </c>
      <c r="Q21" t="s">
        <v>127</v>
      </c>
      <c r="R21" t="s">
        <v>128</v>
      </c>
      <c r="S21" t="s">
        <v>129</v>
      </c>
    </row>
    <row r="49" spans="1:4">
      <c r="A49" t="s">
        <v>130</v>
      </c>
    </row>
    <row r="50" spans="1:4">
      <c r="A50" t="s">
        <v>131</v>
      </c>
    </row>
    <row r="51" spans="1:4">
      <c r="A51" t="s">
        <v>132</v>
      </c>
    </row>
    <row r="52" spans="1:4">
      <c r="A52" t="s">
        <v>133</v>
      </c>
      <c r="B52" t="s">
        <v>134</v>
      </c>
    </row>
    <row r="53" spans="1:4">
      <c r="A53" t="s">
        <v>135</v>
      </c>
      <c r="B53" t="s">
        <v>136</v>
      </c>
    </row>
    <row r="54" spans="1:4">
      <c r="A54" t="s">
        <v>137</v>
      </c>
      <c r="B54" t="s">
        <v>138</v>
      </c>
    </row>
    <row r="55" spans="1:4">
      <c r="A55" t="s">
        <v>139</v>
      </c>
    </row>
    <row r="56" spans="1:4">
      <c r="A56" t="s">
        <v>140</v>
      </c>
      <c r="B56" t="s">
        <v>141</v>
      </c>
    </row>
    <row r="57" spans="1:4">
      <c r="A57" t="s">
        <v>142</v>
      </c>
    </row>
    <row r="58" spans="1:4">
      <c r="A58" t="s">
        <v>8</v>
      </c>
      <c r="B58" t="s">
        <v>115</v>
      </c>
      <c r="C58" t="s">
        <v>115</v>
      </c>
      <c r="D58" t="s">
        <v>115</v>
      </c>
    </row>
    <row r="59" spans="1:4">
      <c r="A59" t="s">
        <v>9</v>
      </c>
      <c r="B59" t="s">
        <v>115</v>
      </c>
      <c r="C59" t="s">
        <v>115</v>
      </c>
      <c r="D59" t="s">
        <v>115</v>
      </c>
    </row>
    <row r="60" spans="1:4">
      <c r="A60" t="s">
        <v>10</v>
      </c>
      <c r="B60" t="s">
        <v>115</v>
      </c>
      <c r="C60" t="s">
        <v>115</v>
      </c>
      <c r="D60" t="s">
        <v>115</v>
      </c>
    </row>
    <row r="61" spans="1:4">
      <c r="A61" t="s">
        <v>143</v>
      </c>
      <c r="B61" t="s">
        <v>115</v>
      </c>
      <c r="C61" t="s">
        <v>115</v>
      </c>
      <c r="D61" t="s">
        <v>115</v>
      </c>
    </row>
    <row r="62" spans="1:4">
      <c r="A62" t="s">
        <v>11</v>
      </c>
      <c r="B62" t="s">
        <v>115</v>
      </c>
      <c r="C62" t="s">
        <v>115</v>
      </c>
      <c r="D62" t="s">
        <v>115</v>
      </c>
    </row>
    <row r="63" spans="1:4">
      <c r="A63" t="s">
        <v>144</v>
      </c>
      <c r="B63" t="s">
        <v>115</v>
      </c>
      <c r="C63" t="s">
        <v>115</v>
      </c>
      <c r="D63" t="s">
        <v>115</v>
      </c>
    </row>
    <row r="64" spans="1:4">
      <c r="A64" t="s">
        <v>145</v>
      </c>
      <c r="B64" t="s">
        <v>115</v>
      </c>
      <c r="C64" t="s">
        <v>115</v>
      </c>
      <c r="D64" t="s">
        <v>115</v>
      </c>
    </row>
    <row r="65" spans="1:4">
      <c r="A65" t="s">
        <v>15</v>
      </c>
      <c r="B65" t="s">
        <v>115</v>
      </c>
      <c r="C65" t="s">
        <v>115</v>
      </c>
      <c r="D65" t="s">
        <v>115</v>
      </c>
    </row>
    <row r="66" spans="1:4">
      <c r="A66" t="s">
        <v>22</v>
      </c>
      <c r="B66" t="s">
        <v>115</v>
      </c>
      <c r="C66" t="s">
        <v>115</v>
      </c>
      <c r="D66" t="s">
        <v>115</v>
      </c>
    </row>
    <row r="67" spans="1:4">
      <c r="A67" t="s">
        <v>23</v>
      </c>
      <c r="B67" t="s">
        <v>115</v>
      </c>
      <c r="C67" t="s">
        <v>115</v>
      </c>
      <c r="D67" t="s">
        <v>115</v>
      </c>
    </row>
    <row r="77" spans="1:4">
      <c r="A77" t="s">
        <v>146</v>
      </c>
    </row>
    <row r="78" spans="1:4">
      <c r="A78" t="s">
        <v>147</v>
      </c>
      <c r="B78" t="s">
        <v>148</v>
      </c>
    </row>
    <row r="79" spans="1:4">
      <c r="A79" t="s">
        <v>149</v>
      </c>
      <c r="B79" t="s">
        <v>150</v>
      </c>
    </row>
    <row r="80" spans="1:4">
      <c r="A80" t="s">
        <v>151</v>
      </c>
    </row>
    <row r="81" spans="1:3">
      <c r="A81" t="s">
        <v>152</v>
      </c>
      <c r="B81" t="s">
        <v>153</v>
      </c>
    </row>
    <row r="82" spans="1:3">
      <c r="A82" t="s">
        <v>154</v>
      </c>
    </row>
    <row r="83" spans="1:3">
      <c r="A83" t="s">
        <v>8</v>
      </c>
      <c r="B83" t="s">
        <v>115</v>
      </c>
      <c r="C83" t="s">
        <v>115</v>
      </c>
    </row>
    <row r="84" spans="1:3">
      <c r="A84" t="s">
        <v>9</v>
      </c>
      <c r="B84" t="s">
        <v>115</v>
      </c>
      <c r="C84" t="s">
        <v>115</v>
      </c>
    </row>
    <row r="85" spans="1:3">
      <c r="A85" t="s">
        <v>10</v>
      </c>
      <c r="B85" t="s">
        <v>115</v>
      </c>
      <c r="C85" t="s">
        <v>115</v>
      </c>
    </row>
    <row r="86" spans="1:3">
      <c r="A86" t="s">
        <v>143</v>
      </c>
      <c r="B86" t="s">
        <v>115</v>
      </c>
      <c r="C86" t="s">
        <v>115</v>
      </c>
    </row>
    <row r="87" spans="1:3">
      <c r="A87" t="s">
        <v>11</v>
      </c>
      <c r="B87" t="s">
        <v>115</v>
      </c>
      <c r="C87" t="s">
        <v>115</v>
      </c>
    </row>
    <row r="88" spans="1:3">
      <c r="A88" t="s">
        <v>144</v>
      </c>
      <c r="B88" t="s">
        <v>115</v>
      </c>
      <c r="C88" t="s">
        <v>115</v>
      </c>
    </row>
    <row r="89" spans="1:3">
      <c r="A89" t="s">
        <v>145</v>
      </c>
      <c r="B89" t="s">
        <v>115</v>
      </c>
      <c r="C89" t="s">
        <v>115</v>
      </c>
    </row>
    <row r="90" spans="1:3">
      <c r="A90" t="s">
        <v>15</v>
      </c>
      <c r="B90" t="s">
        <v>115</v>
      </c>
      <c r="C90" t="s">
        <v>115</v>
      </c>
    </row>
    <row r="91" spans="1:3">
      <c r="A91" t="s">
        <v>22</v>
      </c>
      <c r="B91" t="s">
        <v>115</v>
      </c>
      <c r="C91" t="s">
        <v>115</v>
      </c>
    </row>
    <row r="92" spans="1:3">
      <c r="A92" t="s">
        <v>23</v>
      </c>
      <c r="B92" t="s">
        <v>115</v>
      </c>
      <c r="C92" t="s">
        <v>115</v>
      </c>
    </row>
    <row r="93" spans="1:3">
      <c r="A93" t="s">
        <v>24</v>
      </c>
      <c r="B93" t="s">
        <v>115</v>
      </c>
      <c r="C93" t="s">
        <v>115</v>
      </c>
    </row>
    <row r="94" spans="1:3">
      <c r="A94" t="s">
        <v>25</v>
      </c>
      <c r="B94" t="s">
        <v>115</v>
      </c>
      <c r="C94" t="s">
        <v>115</v>
      </c>
    </row>
    <row r="95" spans="1:3">
      <c r="A95" t="s">
        <v>155</v>
      </c>
      <c r="B95" t="s">
        <v>115</v>
      </c>
      <c r="C95" t="s">
        <v>115</v>
      </c>
    </row>
    <row r="96" spans="1:3">
      <c r="A96" t="s">
        <v>29</v>
      </c>
      <c r="B96" t="s">
        <v>115</v>
      </c>
      <c r="C96" t="s">
        <v>115</v>
      </c>
    </row>
    <row r="97" spans="1:3">
      <c r="A97" t="s">
        <v>30</v>
      </c>
      <c r="B97" t="s">
        <v>115</v>
      </c>
      <c r="C97" t="s">
        <v>115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E21B-B1EB-4BCD-89AA-D7BDFC938A2D}">
  <dimension ref="A1:A5"/>
  <sheetViews>
    <sheetView workbookViewId="0">
      <selection activeCell="A6" sqref="A6"/>
    </sheetView>
  </sheetViews>
  <sheetFormatPr defaultRowHeight="15"/>
  <sheetData>
    <row r="1" spans="1:1">
      <c r="A1" t="s">
        <v>156</v>
      </c>
    </row>
    <row r="2" spans="1:1">
      <c r="A2" s="3" t="s">
        <v>157</v>
      </c>
    </row>
    <row r="3" spans="1:1">
      <c r="A3" t="s">
        <v>158</v>
      </c>
    </row>
    <row r="4" spans="1:1">
      <c r="A4" s="3" t="s">
        <v>159</v>
      </c>
    </row>
    <row r="5" spans="1:1">
      <c r="A5" t="s">
        <v>160</v>
      </c>
    </row>
  </sheetData>
  <hyperlinks>
    <hyperlink ref="A2" r:id="rId1" xr:uid="{1F336B02-B723-42E9-B393-3E925EA201B6}"/>
    <hyperlink ref="A4" r:id="rId2" xr:uid="{55FCB4D9-CC26-45F1-B428-1EAA4EDEC64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301717-D0D3-4339-AC29-641DDB1C79C7}"/>
</file>

<file path=customXml/itemProps2.xml><?xml version="1.0" encoding="utf-8"?>
<ds:datastoreItem xmlns:ds="http://schemas.openxmlformats.org/officeDocument/2006/customXml" ds:itemID="{C7E2F782-0355-4F8C-9FA7-803A204D1966}"/>
</file>

<file path=customXml/itemProps3.xml><?xml version="1.0" encoding="utf-8"?>
<ds:datastoreItem xmlns:ds="http://schemas.openxmlformats.org/officeDocument/2006/customXml" ds:itemID="{7A232B32-A057-4E68-8FFC-ABE6F3E6F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Rod, Kenton A</cp:lastModifiedBy>
  <cp:revision/>
  <dcterms:created xsi:type="dcterms:W3CDTF">2026-05-08T20:13:56Z</dcterms:created>
  <dcterms:modified xsi:type="dcterms:W3CDTF">2026-06-11T15:05:14Z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
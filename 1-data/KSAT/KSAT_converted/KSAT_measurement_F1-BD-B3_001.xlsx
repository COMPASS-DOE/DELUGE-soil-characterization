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<sst xmlns="http://schemas.openxmlformats.org/spreadsheetml/2006/main" count="107" uniqueCount="107">
  <si>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</si>
  <si>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</si>
  <si>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</si>
  <si>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</si>
  <si>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</si>
  <si>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</si>
  <si>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</si>
  <si>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</si>
  <si>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</si>
  <si>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</si>
  <si>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</si>
  <si>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</si>
  <si>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KSAT_measurement_F1-BD-B3_001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</si>
  <si>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</si>
  <si>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</si>
  <si>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</si>
  <si>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</si>
  <si>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</si>
  <si>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</si>
  <si>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</si>
  <si>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</si>
  <si>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</si>
  <si>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</si>
  <si>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</si>
  <si>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</si>
  <si>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</si>
  <si>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</si>
  <si>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</si>
  <si>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</si>
  <si>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</si>
  <si>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</si>
  <si>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</si>
  <si>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</si>
  <si>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</si>
  <si>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</si>
  <si>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</si>
  <si>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</si>
  <si>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</si>
  <si>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</si>
  <si>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</si>
  <si>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</si>
  <si>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</si>
  <si>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</si>
  <si>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</si>
  <si>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</si>
  <si>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</si>
  <si>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</si>
  <si>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</si>
  <si>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</si>
  <si>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</si>
  <si>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</si>
  <si>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</si>
  <si>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</si>
  <si>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</si>
  <si>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</si>
  <si>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</si>
  <si>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</si>
  <si>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</si>
  <si>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</si>
  <si>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</si>
  <si>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</si>
  <si>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</si>
  <si>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</si>
  <si>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</si>
  <si>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</si>
  <si>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11/5/2025 4:57:27 PM</t>
  </si>
  <si>
    <t>Test duration</t>
  </si>
  <si>
    <t>00:24:26</t>
  </si>
  <si>
    <t>RESULT</t>
  </si>
  <si>
    <t>Use auto offset adjustment</t>
  </si>
  <si>
    <t>Max offset adjustment [cm]</t>
  </si>
  <si>
    <t>1</t>
  </si>
  <si>
    <t>Fitting Parameter a [cm]</t>
  </si>
  <si>
    <t>18.55</t>
  </si>
  <si>
    <t>coefficient a of the fitted exponential pressure head decrease function y = a * exp(-b*t)+c, where y is the pressure head in cm and t is time in s</t>
  </si>
  <si>
    <t>Fitting Parameter b [s-1]</t>
  </si>
  <si>
    <t>-5.05E-05</t>
  </si>
  <si>
    <t>coefficient b of the fitted exponential pressure head decrease function y = a * exp(-b*t)+c, where y is the pressure head in cm and t is time in s</t>
  </si>
  <si>
    <t>Fitting Parameter c [cm]</t>
  </si>
  <si>
    <t>-1</t>
  </si>
  <si>
    <t>coefficient c of the fitted exponential pressure head decrease function y = a * exp(-b*t)+c, where y is the pressure head in cm and t is time in s</t>
  </si>
  <si>
    <t>Fitting Parameter r2 [-]</t>
  </si>
  <si>
    <t>0.7684</t>
  </si>
  <si>
    <t>coefficient of determination of the exponential pressure head decrease function that is fitted to the observed data</t>
  </si>
  <si>
    <t>Ks Total [cm/d]</t>
  </si>
  <si>
    <t>6.250</t>
  </si>
  <si>
    <t>Saturated hydraulic conductivity [cm/d] of the entire system</t>
  </si>
  <si>
    <t>Ks Total [m/s]</t>
  </si>
  <si>
    <t>7.27E-07</t>
  </si>
  <si>
    <t>Saturated hydraulic conductivity [m/s] of the entire system</t>
  </si>
  <si>
    <t>Ks Soil [cm/d]</t>
  </si>
  <si>
    <t>5.141</t>
  </si>
  <si>
    <t>Saturated hydraulic conductivity [cm/d] of the soil sample itself</t>
  </si>
  <si>
    <t>Ks Soil [m/s]</t>
  </si>
  <si>
    <t>5.98E-07</t>
  </si>
  <si>
    <t>Saturated hydraulic conductivity [m/s] of the soil sample itself</t>
  </si>
  <si>
    <t>4.985</t>
  </si>
  <si>
    <t>Saturated hydraulic conductivity [cm/d] of the soil sample  normalized to 10 °C mean field temperature</t>
  </si>
  <si>
    <t>5.80E-07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</si>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</sst>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topLeftCell="A52" workbookViewId="0">
      <selection activeCell="B58" sqref="B58"/>
    </sheetView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79</v>
      </c>
      <c r="C45" t="s">
        <v>80</v>
      </c>
    </row>
    <row r="46" spans="1:3" x14ac:dyDescent="0.2">
      <c r="A46" t="s">
        <v>81</v>
      </c>
      <c r="B46" t="s">
        <v>82</v>
      </c>
      <c r="C46" t="s">
        <v>83</v>
      </c>
    </row>
    <row r="47" spans="1:3" x14ac:dyDescent="0.2">
      <c r="A47" t="s">
        <v>84</v>
      </c>
      <c r="B47" t="s">
        <v>85</v>
      </c>
      <c r="C47" t="s">
        <v>86</v>
      </c>
    </row>
    <row r="48" spans="1:3" x14ac:dyDescent="0.2">
      <c r="A48" t="s">
        <v>87</v>
      </c>
      <c r="B48" s="3" t="s">
        <v>88</v>
      </c>
      <c r="C48" s="3" t="s">
        <v>89</v>
      </c>
    </row>
    <row r="49" spans="1:6" x14ac:dyDescent="0.2">
      <c r="A49" t="s">
        <v>90</v>
      </c>
      <c r="B49" t="s">
        <v>91</v>
      </c>
      <c r="C49" t="s">
        <v>92</v>
      </c>
    </row>
    <row r="50" spans="1:6" x14ac:dyDescent="0.2">
      <c r="A50" t="s">
        <v>93</v>
      </c>
      <c r="B50" s="3" t="s">
        <v>94</v>
      </c>
      <c r="C50" s="3" t="s">
        <v>95</v>
      </c>
    </row>
    <row r="51" spans="1:6" x14ac:dyDescent="0.2">
      <c r="A51" t="str">
        <f>CONCATENATE("Ks Soil normalized at ",B32," °C [cm/d]")</f>
        <v>Ks Soil normalized at 20 °C [cm/d]</v>
      </c>
      <c r="B51" t="s">
        <v>96</v>
      </c>
      <c r="C51" t="s">
        <v>97</v>
      </c>
    </row>
    <row r="52" spans="1:6" x14ac:dyDescent="0.2">
      <c r="A52" t="str">
        <f>CONCATENATE("Ks Soil normalized at ",B32," °C [m/s]")</f>
        <v>Ks Soil normalized at 20 °C [m/s]</v>
      </c>
      <c r="B52" s="3" t="s">
        <v>98</v>
      </c>
      <c r="C52" s="3" t="s">
        <v>99</v>
      </c>
    </row>
    <row r="54" spans="1:6" x14ac:dyDescent="0.2">
      <c r="A54" t="s">
        <v>100</v>
      </c>
    </row>
    <row r="55" spans="1:6" x14ac:dyDescent="0.2">
      <c r="A55" s="1" t="s">
        <v>101</v>
      </c>
      <c r="B55" t="s">
        <v>102</v>
      </c>
      <c r="C55" t="s">
        <v>103</v>
      </c>
      <c r="D55" t="s">
        <v>104</v>
      </c>
      <c r="E55" t="s">
        <v>105</v>
      </c>
      <c r="F55" t="s">
        <v>106</v>
      </c>
    </row>
    <row r="56" spans="1:6" x14ac:dyDescent="0.2">
      <c r="A56" s="4">
        <v>45966.706569988397</v>
      </c>
      <c r="B56">
        <v>647</v>
      </c>
      <c r="C56">
        <v>0</v>
      </c>
      <c r="D56">
        <v>19.552</v>
      </c>
      <c r="E56">
        <v>19.552</v>
      </c>
      <c r="F56">
        <v>21.31</v>
      </c>
    </row>
    <row r="57" spans="1:6" x14ac:dyDescent="0.2">
      <c r="A57" s="4">
        <v>45966.706626006897</v>
      </c>
      <c r="B57">
        <v>487</v>
      </c>
      <c r="C57">
        <v>4.84</v>
      </c>
      <c r="D57">
        <v>19.379000000000001</v>
      </c>
      <c r="E57">
        <v>19.547000000000001</v>
      </c>
      <c r="F57">
        <v>21.31</v>
      </c>
    </row>
    <row r="58" spans="1:6" x14ac:dyDescent="0.2">
      <c r="A58" s="4">
        <v>45966.7066376968</v>
      </c>
      <c r="B58">
        <v>497</v>
      </c>
      <c r="C58">
        <v>5.85</v>
      </c>
      <c r="D58">
        <v>19.353000000000002</v>
      </c>
      <c r="E58">
        <v>19.547000000000001</v>
      </c>
      <c r="F58">
        <v>21.31</v>
      </c>
    </row>
    <row r="59" spans="1:6" x14ac:dyDescent="0.2">
      <c r="A59" s="4">
        <v>45966.706684351899</v>
      </c>
      <c r="B59">
        <v>528</v>
      </c>
      <c r="C59">
        <v>9.8800000000000008</v>
      </c>
      <c r="D59">
        <v>19.248999999999999</v>
      </c>
      <c r="E59">
        <v>19.542999999999999</v>
      </c>
      <c r="F59">
        <v>21.31</v>
      </c>
    </row>
    <row r="60" spans="1:6" x14ac:dyDescent="0.2">
      <c r="A60" s="4">
        <v>45966.706713749998</v>
      </c>
      <c r="B60">
        <v>68</v>
      </c>
      <c r="C60">
        <v>12.42</v>
      </c>
      <c r="D60">
        <v>19.149000000000001</v>
      </c>
      <c r="E60">
        <v>19.54</v>
      </c>
      <c r="F60">
        <v>21.31</v>
      </c>
    </row>
    <row r="61" spans="1:6" x14ac:dyDescent="0.2">
      <c r="A61" s="4">
        <v>45966.7067318056</v>
      </c>
      <c r="B61">
        <v>628</v>
      </c>
      <c r="C61">
        <v>13.98</v>
      </c>
      <c r="D61">
        <v>18.998999999999999</v>
      </c>
      <c r="E61">
        <v>19.539000000000001</v>
      </c>
      <c r="F61">
        <v>21.31</v>
      </c>
    </row>
    <row r="62" spans="1:6" x14ac:dyDescent="0.2">
      <c r="A62" s="4">
        <v>45966.706750092599</v>
      </c>
      <c r="B62">
        <v>208</v>
      </c>
      <c r="C62">
        <v>15.56</v>
      </c>
      <c r="D62">
        <v>18.861000000000001</v>
      </c>
      <c r="E62">
        <v>19.536999999999999</v>
      </c>
      <c r="F62">
        <v>21.31</v>
      </c>
    </row>
    <row r="63" spans="1:6" x14ac:dyDescent="0.2">
      <c r="A63" s="4">
        <v>45966.706769652803</v>
      </c>
      <c r="B63">
        <v>898</v>
      </c>
      <c r="C63">
        <v>17.25</v>
      </c>
      <c r="D63">
        <v>18.736999999999998</v>
      </c>
      <c r="E63">
        <v>19.536000000000001</v>
      </c>
      <c r="F63">
        <v>21.31</v>
      </c>
    </row>
    <row r="64" spans="1:6" x14ac:dyDescent="0.2">
      <c r="A64" s="4">
        <v>45966.718523240699</v>
      </c>
      <c r="B64">
        <v>408</v>
      </c>
      <c r="C64">
        <v>1032.76</v>
      </c>
      <c r="D64">
        <v>18.634</v>
      </c>
      <c r="E64">
        <v>18.608000000000001</v>
      </c>
      <c r="F64">
        <v>21.3</v>
      </c>
    </row>
    <row r="65" spans="1:6" x14ac:dyDescent="0.2">
      <c r="A65" s="4">
        <v>45966.719775497702</v>
      </c>
      <c r="B65">
        <v>603</v>
      </c>
      <c r="C65">
        <v>1140.96</v>
      </c>
      <c r="D65">
        <v>18.530999999999999</v>
      </c>
      <c r="E65">
        <v>18.512</v>
      </c>
      <c r="F65">
        <v>21.3</v>
      </c>
    </row>
    <row r="66" spans="1:6" x14ac:dyDescent="0.2">
      <c r="A66" s="4">
        <v>45966.721084293997</v>
      </c>
      <c r="B66">
        <v>683</v>
      </c>
      <c r="C66">
        <v>1254.04</v>
      </c>
      <c r="D66">
        <v>18.43</v>
      </c>
      <c r="E66">
        <v>18.413</v>
      </c>
      <c r="F66">
        <v>21.3</v>
      </c>
    </row>
    <row r="67" spans="1:6" x14ac:dyDescent="0.2">
      <c r="A67" s="4">
        <v>45966.7223819676</v>
      </c>
      <c r="B67">
        <v>802</v>
      </c>
      <c r="C67">
        <v>1366.16</v>
      </c>
      <c r="D67">
        <v>18.329999999999998</v>
      </c>
      <c r="E67">
        <v>18.314</v>
      </c>
      <c r="F67">
        <v>21.3</v>
      </c>
    </row>
    <row r="68" spans="1:6" x14ac:dyDescent="0.2">
      <c r="A68" s="4">
        <v>45966.723537592603</v>
      </c>
      <c r="B68">
        <v>648</v>
      </c>
      <c r="C68">
        <v>1466</v>
      </c>
      <c r="D68">
        <v>18.227</v>
      </c>
      <c r="E68">
        <v>18.227</v>
      </c>
      <c r="F68">
        <v>21.3</v>
      </c>
    </row>
    <row r="69" spans="1:6" x14ac:dyDescent="0.2">
      <c r="A69" s="4"/>
    </row>
    <row r="70" spans="1:6" x14ac:dyDescent="0.2">
      <c r="A70" s="4"/>
    </row>
    <row r="71" spans="1:6" x14ac:dyDescent="0.2">
      <c r="A71" s="4"/>
    </row>
    <row r="72" spans="1:6" x14ac:dyDescent="0.2">
      <c r="A72" s="4"/>
    </row>
    <row r="73" spans="1:6" x14ac:dyDescent="0.2">
      <c r="A73" s="4"/>
    </row>
    <row r="74" spans="1:6" x14ac:dyDescent="0.2">
      <c r="A74" s="4"/>
    </row>
    <row r="75" spans="1:6" x14ac:dyDescent="0.2">
      <c r="A75" s="4"/>
    </row>
    <row r="76" spans="1:6" x14ac:dyDescent="0.2">
      <c r="A76" s="4"/>
    </row>
    <row r="77" spans="1:6" x14ac:dyDescent="0.2">
      <c r="A77" s="4"/>
    </row>
    <row r="78" spans="1:6" x14ac:dyDescent="0.2">
      <c r="A78" s="4"/>
    </row>
    <row r="79" spans="1:6" x14ac:dyDescent="0.2">
      <c r="A79" s="4"/>
    </row>
    <row r="80" spans="1:6" x14ac:dyDescent="0.2">
      <c r="A80" s="4"/>
    </row>
    <row r="81" spans="1:1" x14ac:dyDescent="0.2">
      <c r="A81" s="4"/>
    </row>
    <row r="82" spans="1:1" x14ac:dyDescent="0.2">
      <c r="A82" s="4"/>
    </row>
    <row r="83" spans="1:1" x14ac:dyDescent="0.2">
      <c r="A83" s="4"/>
    </row>
    <row r="84" spans="1:1" x14ac:dyDescent="0.2">
      <c r="A84" s="4"/>
    </row>
    <row r="85" spans="1:1" x14ac:dyDescent="0.2">
      <c r="A85" s="4"/>
    </row>
    <row r="86" spans="1:1" x14ac:dyDescent="0.2">
      <c r="A86" s="4"/>
    </row>
    <row r="87" spans="1:1" x14ac:dyDescent="0.2">
      <c r="A87" s="4"/>
    </row>
    <row r="88" spans="1:1" x14ac:dyDescent="0.2">
      <c r="A88" s="4"/>
    </row>
    <row r="89" spans="1:1" x14ac:dyDescent="0.2">
      <c r="A89" s="4"/>
    </row>
    <row r="90" spans="1:1" x14ac:dyDescent="0.2">
      <c r="A90" s="4"/>
    </row>
    <row r="91" spans="1:1" x14ac:dyDescent="0.2">
      <c r="A91" s="4"/>
    </row>
    <row r="92" spans="1:1" x14ac:dyDescent="0.2">
      <c r="A92" s="4"/>
    </row>
    <row r="93" spans="1:1" x14ac:dyDescent="0.2">
      <c r="A93" s="4"/>
    </row>
    <row r="94" spans="1:1" x14ac:dyDescent="0.2">
      <c r="A94" s="4"/>
    </row>
    <row r="95" spans="1:1" x14ac:dyDescent="0.2">
      <c r="A95" s="4"/>
    </row>
    <row r="96" spans="1:1" x14ac:dyDescent="0.2">
      <c r="A96" s="4"/>
    </row>
    <row r="97" spans="1:1" x14ac:dyDescent="0.2">
      <c r="A97" s="4"/>
    </row>
    <row r="98" spans="1:1" x14ac:dyDescent="0.2">
      <c r="A98" s="4"/>
    </row>
    <row r="99" spans="1:1" x14ac:dyDescent="0.2">
      <c r="A99" s="4"/>
    </row>
    <row r="100" spans="1:1" x14ac:dyDescent="0.2">
      <c r="A100" s="4"/>
    </row>
    <row r="101" spans="1:1" x14ac:dyDescent="0.2">
      <c r="A101" s="4"/>
    </row>
    <row r="102" spans="1:1" x14ac:dyDescent="0.2">
      <c r="A102" s="4"/>
    </row>
    <row r="103" spans="1:1" x14ac:dyDescent="0.2">
      <c r="A103" s="4"/>
    </row>
    <row r="104" spans="1:1" x14ac:dyDescent="0.2">
      <c r="A104" s="4"/>
    </row>
    <row r="105" spans="1:1" x14ac:dyDescent="0.2">
      <c r="A105" s="4"/>
    </row>
    <row r="106" spans="1:1" x14ac:dyDescent="0.2">
      <c r="A106" s="4"/>
    </row>
    <row r="107" spans="1:1" x14ac:dyDescent="0.2">
      <c r="A107" s="4"/>
    </row>
    <row r="108" spans="1:1" x14ac:dyDescent="0.2">
      <c r="A108" s="4"/>
    </row>
    <row r="109" spans="1:1" x14ac:dyDescent="0.2">
      <c r="A109" s="4"/>
    </row>
    <row r="110" spans="1:1" x14ac:dyDescent="0.2">
      <c r="A110" s="4"/>
    </row>
    <row r="111" spans="1:1" x14ac:dyDescent="0.2">
      <c r="A111" s="4"/>
    </row>
    <row r="112" spans="1:1" x14ac:dyDescent="0.2">
      <c r="A112" s="4"/>
    </row>
    <row r="113" spans="1:1" x14ac:dyDescent="0.2">
      <c r="A113" s="4"/>
    </row>
    <row r="114" spans="1:1" x14ac:dyDescent="0.2">
      <c r="A114" s="4"/>
    </row>
    <row r="115" spans="1:1" x14ac:dyDescent="0.2">
      <c r="A115" s="4"/>
    </row>
    <row r="116" spans="1:1" x14ac:dyDescent="0.2">
      <c r="A116" s="4"/>
    </row>
    <row r="117" spans="1:1" x14ac:dyDescent="0.2">
      <c r="A117" s="4"/>
    </row>
    <row r="118" spans="1:1" x14ac:dyDescent="0.2">
      <c r="A118" s="4"/>
    </row>
    <row r="119" spans="1:1" x14ac:dyDescent="0.2">
      <c r="A119" s="4"/>
    </row>
    <row r="120" spans="1:1" x14ac:dyDescent="0.2">
      <c r="A120" s="4"/>
    </row>
    <row r="121" spans="1:1" x14ac:dyDescent="0.2">
      <c r="A121" s="4"/>
    </row>
    <row r="122" spans="1:1" x14ac:dyDescent="0.2">
      <c r="A122" s="4"/>
    </row>
    <row r="123" spans="1:1" x14ac:dyDescent="0.2">
      <c r="A123" s="4"/>
    </row>
    <row r="124" spans="1:1" x14ac:dyDescent="0.2">
      <c r="A124" s="4"/>
    </row>
    <row r="125" spans="1:1" x14ac:dyDescent="0.2">
      <c r="A125" s="4"/>
    </row>
    <row r="126" spans="1:1" x14ac:dyDescent="0.2">
      <c r="A126" s="4"/>
    </row>
    <row r="127" spans="1:1" x14ac:dyDescent="0.2">
      <c r="A127" s="4"/>
    </row>
    <row r="128" spans="1:1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  <row r="135" spans="1:1" x14ac:dyDescent="0.2">
      <c r="A135" s="4"/>
    </row>
    <row r="136" spans="1:1" x14ac:dyDescent="0.2">
      <c r="A136" s="4"/>
    </row>
    <row r="137" spans="1:1" x14ac:dyDescent="0.2">
      <c r="A137" s="4"/>
    </row>
    <row r="138" spans="1:1" x14ac:dyDescent="0.2">
      <c r="A138" s="4"/>
    </row>
    <row r="139" spans="1:1" x14ac:dyDescent="0.2">
      <c r="A139" s="4"/>
    </row>
    <row r="140" spans="1:1" x14ac:dyDescent="0.2">
      <c r="A140" s="4"/>
    </row>
    <row r="141" spans="1:1" x14ac:dyDescent="0.2">
      <c r="A141" s="4"/>
    </row>
    <row r="142" spans="1:1" x14ac:dyDescent="0.2">
      <c r="A142" s="4"/>
    </row>
    <row r="143" spans="1:1" x14ac:dyDescent="0.2">
      <c r="A143" s="4"/>
    </row>
    <row r="144" spans="1:1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2" spans="1:1" x14ac:dyDescent="0.2">
      <c r="A152" s="4"/>
    </row>
    <row r="153" spans="1:1" x14ac:dyDescent="0.2">
      <c r="A153" s="4"/>
    </row>
    <row r="154" spans="1:1" x14ac:dyDescent="0.2">
      <c r="A154" s="4"/>
    </row>
    <row r="155" spans="1:1" x14ac:dyDescent="0.2">
      <c r="A155" s="4"/>
    </row>
    <row r="156" spans="1:1" x14ac:dyDescent="0.2">
      <c r="A156" s="4"/>
    </row>
    <row r="157" spans="1:1" x14ac:dyDescent="0.2">
      <c r="A157" s="4"/>
    </row>
    <row r="158" spans="1:1" x14ac:dyDescent="0.2">
      <c r="A158" s="4"/>
    </row>
    <row r="159" spans="1:1" x14ac:dyDescent="0.2">
      <c r="A159" s="4"/>
    </row>
    <row r="160" spans="1:1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8DE463-A994-4F98-8220-16AC05BDC7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BA12EF-AEC1-4E41-86AE-E75861091A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43F9FE-1A7C-4C5F-8E9A-DB61D9AA6CFD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2026-08-13T04:39:23Z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
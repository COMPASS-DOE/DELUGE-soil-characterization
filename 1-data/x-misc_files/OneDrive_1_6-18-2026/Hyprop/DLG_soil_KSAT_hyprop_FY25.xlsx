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pnnl.sharepoint.com/teams/SoilPhysicsBSF/Shared Documents/Hyprop/"/>
    </mc:Choice>
  </mc:AlternateContent>
  <xr:revisionPtr revIDLastSave="58" documentId="14_{DA8BA89E-0A35-406B-9C9A-F277C9190803}" xr6:coauthVersionLast="47" xr6:coauthVersionMax="47" xr10:uidLastSave="{4AFF5E06-B95E-48A5-A7AB-3FB361CCD951}"/>
  <bookViews>
    <workbookView xWindow="30" yWindow="260" windowWidth="19170" windowHeight="11010" xr2:uid="{C20B9A19-5332-443A-B982-7BC34CED36EB}"/>
  </bookViews>
  <sheets>
    <sheet name="ksat_hyprop_extensibility" sheetId="1" r:id="rId1"/>
    <sheet name="Moisture content post Hyprop" sheetId="2" r:id="rId2"/>
    <sheet name="Agg_soil moisture_Run2" sheetId="6" r:id="rId3"/>
    <sheet name="Aggregate Distribution_run2" sheetId="5" r:id="rId4"/>
    <sheet name="Agg_soil moisture_Run1" sheetId="4" r:id="rId5"/>
    <sheet name="Aggregate Distribution_run1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5" i="1"/>
  <c r="L3" i="1"/>
  <c r="L4" i="1"/>
  <c r="L14" i="1"/>
  <c r="L9" i="1"/>
  <c r="L17" i="1"/>
  <c r="L6" i="1"/>
  <c r="L16" i="1"/>
  <c r="L18" i="1"/>
  <c r="L29" i="1"/>
  <c r="L10" i="1"/>
  <c r="L8" i="1"/>
  <c r="L30" i="1"/>
  <c r="L28" i="1"/>
  <c r="L20" i="1"/>
  <c r="L23" i="1"/>
  <c r="L12" i="1"/>
  <c r="L24" i="1"/>
  <c r="L13" i="1"/>
  <c r="L5" i="1"/>
  <c r="L7" i="1"/>
  <c r="L34" i="1"/>
  <c r="L36" i="1"/>
  <c r="L2" i="1"/>
  <c r="L11" i="1"/>
  <c r="L15" i="1"/>
  <c r="L22" i="1"/>
  <c r="L33" i="1"/>
  <c r="L31" i="1"/>
  <c r="L37" i="1"/>
  <c r="L21" i="1"/>
  <c r="L27" i="1"/>
  <c r="L19" i="1"/>
  <c r="L26" i="1"/>
  <c r="L25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4" i="2"/>
  <c r="G5" i="2"/>
  <c r="G6" i="2"/>
  <c r="G7" i="2"/>
  <c r="G8" i="2"/>
  <c r="G9" i="2"/>
  <c r="G10" i="2"/>
  <c r="G11" i="2"/>
  <c r="G12" i="2"/>
  <c r="G13" i="2"/>
  <c r="G14" i="2"/>
  <c r="G3" i="2"/>
  <c r="G2" i="2"/>
  <c r="F21" i="1"/>
  <c r="F27" i="1"/>
  <c r="F19" i="1"/>
  <c r="F32" i="1"/>
  <c r="F26" i="1"/>
  <c r="F28" i="2"/>
  <c r="F29" i="2"/>
  <c r="F30" i="2"/>
  <c r="F31" i="2"/>
  <c r="F32" i="2"/>
  <c r="F33" i="2"/>
  <c r="Q27" i="1"/>
  <c r="Q19" i="1"/>
  <c r="Q32" i="1"/>
  <c r="Q26" i="1"/>
  <c r="O26" i="1"/>
  <c r="U26" i="1"/>
  <c r="O32" i="1"/>
  <c r="U32" i="1"/>
  <c r="O19" i="1"/>
  <c r="U19" i="1"/>
  <c r="O27" i="1"/>
  <c r="U27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2" i="3"/>
  <c r="Q21" i="1"/>
  <c r="U21" i="1"/>
  <c r="O21" i="1"/>
  <c r="F27" i="2"/>
  <c r="F26" i="2"/>
  <c r="Q37" i="1"/>
  <c r="Q31" i="1"/>
  <c r="Q33" i="1"/>
  <c r="Q22" i="1"/>
  <c r="F37" i="1"/>
  <c r="O37" i="1"/>
  <c r="U37" i="1"/>
  <c r="F31" i="1"/>
  <c r="O31" i="1"/>
  <c r="U31" i="1"/>
  <c r="F33" i="1"/>
  <c r="O33" i="1"/>
  <c r="O22" i="1"/>
  <c r="U33" i="1"/>
  <c r="F25" i="2"/>
  <c r="F22" i="1"/>
  <c r="U22" i="1"/>
  <c r="F24" i="2"/>
  <c r="F23" i="2"/>
  <c r="Q15" i="1"/>
  <c r="Q11" i="1"/>
  <c r="Q2" i="1"/>
  <c r="F15" i="1"/>
  <c r="O15" i="1"/>
  <c r="U15" i="1"/>
  <c r="F22" i="2"/>
  <c r="F21" i="2"/>
  <c r="F20" i="2"/>
  <c r="Q36" i="1"/>
  <c r="O11" i="1"/>
  <c r="F11" i="1"/>
  <c r="U11" i="1"/>
  <c r="O2" i="1"/>
  <c r="F2" i="1"/>
  <c r="U2" i="1"/>
  <c r="F36" i="1"/>
  <c r="O36" i="1"/>
  <c r="U36" i="1"/>
  <c r="F19" i="2"/>
  <c r="Q34" i="1"/>
  <c r="Q7" i="1"/>
  <c r="Q5" i="1"/>
  <c r="Q13" i="1"/>
  <c r="F34" i="1"/>
  <c r="O34" i="1"/>
  <c r="U34" i="1"/>
  <c r="O7" i="1"/>
  <c r="F7" i="1"/>
  <c r="U7" i="1"/>
  <c r="F5" i="1"/>
  <c r="O5" i="1"/>
  <c r="U5" i="1"/>
  <c r="O13" i="1"/>
  <c r="F13" i="1"/>
  <c r="U13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" i="2"/>
  <c r="F24" i="1"/>
  <c r="O24" i="1"/>
  <c r="U24" i="1"/>
  <c r="Q24" i="1"/>
  <c r="F12" i="1"/>
  <c r="O12" i="1"/>
  <c r="Q12" i="1"/>
  <c r="U12" i="1"/>
  <c r="F23" i="1"/>
  <c r="O23" i="1"/>
  <c r="U23" i="1"/>
  <c r="Q23" i="1"/>
  <c r="Q30" i="1"/>
  <c r="Q28" i="1"/>
  <c r="Q20" i="1"/>
  <c r="Q8" i="1"/>
  <c r="F20" i="1"/>
  <c r="O20" i="1"/>
  <c r="U20" i="1"/>
  <c r="F28" i="1" l="1"/>
  <c r="O28" i="1"/>
  <c r="U28" i="1"/>
  <c r="F30" i="1"/>
  <c r="O30" i="1"/>
  <c r="U30" i="1"/>
  <c r="F8" i="1"/>
  <c r="O8" i="1"/>
  <c r="U8" i="1"/>
  <c r="Q16" i="1" l="1"/>
  <c r="Q18" i="1"/>
  <c r="Q29" i="1"/>
  <c r="Q10" i="1"/>
  <c r="O16" i="1"/>
  <c r="O18" i="1"/>
  <c r="O29" i="1"/>
  <c r="O10" i="1"/>
  <c r="F17" i="1"/>
  <c r="F6" i="1"/>
  <c r="F16" i="1"/>
  <c r="F18" i="1"/>
  <c r="F29" i="1"/>
  <c r="F10" i="1"/>
  <c r="Q17" i="1"/>
  <c r="Q6" i="1"/>
  <c r="O17" i="1"/>
  <c r="O6" i="1"/>
  <c r="U17" i="1"/>
  <c r="U6" i="1"/>
  <c r="U16" i="1"/>
  <c r="U18" i="1"/>
  <c r="U29" i="1"/>
  <c r="U10" i="1"/>
  <c r="F4" i="1" l="1"/>
  <c r="O25" i="1"/>
  <c r="O35" i="1"/>
  <c r="O3" i="1"/>
  <c r="O4" i="1"/>
  <c r="O14" i="1"/>
  <c r="O9" i="1"/>
  <c r="Q35" i="1"/>
  <c r="Q3" i="1"/>
  <c r="Q4" i="1"/>
  <c r="Q14" i="1"/>
  <c r="Q9" i="1"/>
  <c r="Q25" i="1"/>
  <c r="F25" i="1"/>
  <c r="F35" i="1"/>
  <c r="F3" i="1"/>
  <c r="F14" i="1"/>
  <c r="F9" i="1"/>
  <c r="U25" i="1"/>
  <c r="U35" i="1"/>
  <c r="U3" i="1"/>
  <c r="U4" i="1"/>
  <c r="U14" i="1"/>
  <c r="U9" i="1"/>
</calcChain>
</file>

<file path=xl/sharedStrings.xml><?xml version="1.0" encoding="utf-8"?>
<sst xmlns="http://schemas.openxmlformats.org/spreadsheetml/2006/main" count="899" uniqueCount="182">
  <si>
    <t>Order run</t>
  </si>
  <si>
    <t>Label ID</t>
  </si>
  <si>
    <t>Ring ID</t>
  </si>
  <si>
    <t>Ring weight (g)</t>
  </si>
  <si>
    <t>minus top &amp; bottom soil + ring weight  (g)</t>
  </si>
  <si>
    <t>wet soil minus ring (g)</t>
  </si>
  <si>
    <t>Moist Core soil minus WP4C (g)</t>
  </si>
  <si>
    <t>core Minus Ring Dry weight (g)</t>
  </si>
  <si>
    <t>Final Core Dry soil +WP4C weight (g)</t>
  </si>
  <si>
    <t>Hyprop ring #</t>
  </si>
  <si>
    <t>Hyprop ring adaptor weight  (g)</t>
  </si>
  <si>
    <t>Hyprop enter for empty soil ring wt g</t>
  </si>
  <si>
    <t>top/bottom tare boat(g)</t>
  </si>
  <si>
    <t>top/bottom + boat soil wet weight (g)</t>
  </si>
  <si>
    <t>Final top/bottom soil wet wight (g)</t>
  </si>
  <si>
    <t>top/bottom soil  oven dry weight (g)</t>
  </si>
  <si>
    <t>Final top/bottom soil  oven dry weight (g)</t>
  </si>
  <si>
    <t>Caliper MEASUREMENT 1 (cm)</t>
  </si>
  <si>
    <t>Caliper MEASUREMENT 2 (cm)</t>
  </si>
  <si>
    <t>Caliper MEASUREMENT 3 (cm)</t>
  </si>
  <si>
    <t>Caliper MEASUREMENT Ave (cm)</t>
  </si>
  <si>
    <t xml:space="preserve"> WP4C try number </t>
  </si>
  <si>
    <t>Tray Tare wieght (g)</t>
  </si>
  <si>
    <t>Moist soil + tray (g)</t>
  </si>
  <si>
    <t>Dry soil +tray (g)</t>
  </si>
  <si>
    <t>WP4C pressure (Mpa)</t>
  </si>
  <si>
    <t>Temp (c)</t>
  </si>
  <si>
    <t>Notes:</t>
  </si>
  <si>
    <t>DLG_F1_BD_A-1</t>
  </si>
  <si>
    <t>DLG_F1_BD_A-2</t>
  </si>
  <si>
    <t>top was hydrophobic</t>
  </si>
  <si>
    <t>DLG_F1_BD_A-3</t>
  </si>
  <si>
    <t>DLG_F1_BD_B-1</t>
  </si>
  <si>
    <t>I put the wrong ring weight in the HYPROP change it in  soil view analysis</t>
  </si>
  <si>
    <t>DLG_F1_BD_B-2</t>
  </si>
  <si>
    <t>DLG_F1_BD_B-3</t>
  </si>
  <si>
    <t>DLG_F2_BD_A1</t>
  </si>
  <si>
    <t>23.49.77</t>
  </si>
  <si>
    <t>DLG_F2_BD_A-2</t>
  </si>
  <si>
    <t>DLG_F2_BD_A-3</t>
  </si>
  <si>
    <t>DLG_F2_BD_B-1</t>
  </si>
  <si>
    <t>DLG_F2_BD_B-2</t>
  </si>
  <si>
    <t>DLG_F2_BD_B-3</t>
  </si>
  <si>
    <t>DLG_F3_BD_A-1</t>
  </si>
  <si>
    <t>DLG_F3_BD_A-2</t>
  </si>
  <si>
    <t>DLG_F3_BD_A-3</t>
  </si>
  <si>
    <t>DLG_F3_BD_B-1</t>
  </si>
  <si>
    <t>DLG_F3_BD_B-2</t>
  </si>
  <si>
    <t>DLG_F3_BD_B-3</t>
  </si>
  <si>
    <t>DLG_F4_BD_A-1</t>
  </si>
  <si>
    <t xml:space="preserve"> </t>
  </si>
  <si>
    <t>DLG_F4_BD_A-2</t>
  </si>
  <si>
    <t>DLG_F4_BD_A-3</t>
  </si>
  <si>
    <t>DLG_F4_BD_B-1</t>
  </si>
  <si>
    <t>DLG_F4_BD_B-2</t>
  </si>
  <si>
    <t>DLG_F4_BD_B-3</t>
  </si>
  <si>
    <t>DLG_R1_BD_A-1</t>
  </si>
  <si>
    <t>DLG_R1_BD_A-2</t>
  </si>
  <si>
    <t>DLG_R1_BD_A-3</t>
  </si>
  <si>
    <t>DLG_R1_BD_B-1</t>
  </si>
  <si>
    <t>DLG_R1_BD_B-2</t>
  </si>
  <si>
    <t>DLG_R1_BD_B-3</t>
  </si>
  <si>
    <t>DLG_R2_BD_A-1</t>
  </si>
  <si>
    <t>DLG_R2_BD_A-2</t>
  </si>
  <si>
    <t>DLG_R2_BD_A-3</t>
  </si>
  <si>
    <t>DLG_R2_BD_B-1</t>
  </si>
  <si>
    <t>DLG_R2_BD_B-2</t>
  </si>
  <si>
    <t>DLG_R2_BD_B-3</t>
  </si>
  <si>
    <t>date</t>
  </si>
  <si>
    <t>Full tare boat(g)</t>
  </si>
  <si>
    <t>Full + boat soil wet weight (g)</t>
  </si>
  <si>
    <t>Final full soil wet wight (g)</t>
  </si>
  <si>
    <t>Full soil  oven dry weight (g)</t>
  </si>
  <si>
    <t>DLG_F3_BD_A1_C</t>
  </si>
  <si>
    <t>DLG_R1_BD_A3_B</t>
  </si>
  <si>
    <t xml:space="preserve">Tin label </t>
  </si>
  <si>
    <t>tare tin weight (g)</t>
  </si>
  <si>
    <t>Soil Sub sample wet weight (g)</t>
  </si>
  <si>
    <t>Soil sub sample Dry weight (g)</t>
  </si>
  <si>
    <t>Final Dry weight (g)</t>
  </si>
  <si>
    <t>water (g)</t>
  </si>
  <si>
    <t>gravimetric water content (g/g)</t>
  </si>
  <si>
    <t>Note: take from top soil and middle soil when doing soil moisture content</t>
  </si>
  <si>
    <t>A</t>
  </si>
  <si>
    <t>B</t>
  </si>
  <si>
    <t>F</t>
  </si>
  <si>
    <t>D</t>
  </si>
  <si>
    <t>E</t>
  </si>
  <si>
    <t>C</t>
  </si>
  <si>
    <t>K</t>
  </si>
  <si>
    <t>I</t>
  </si>
  <si>
    <t>G</t>
  </si>
  <si>
    <t>L</t>
  </si>
  <si>
    <t>H</t>
  </si>
  <si>
    <t>J</t>
  </si>
  <si>
    <t>O</t>
  </si>
  <si>
    <t>M</t>
  </si>
  <si>
    <t>R</t>
  </si>
  <si>
    <t>P</t>
  </si>
  <si>
    <t>Q</t>
  </si>
  <si>
    <t>N</t>
  </si>
  <si>
    <t>S</t>
  </si>
  <si>
    <t>T</t>
  </si>
  <si>
    <t>U</t>
  </si>
  <si>
    <t>V</t>
  </si>
  <si>
    <t>W</t>
  </si>
  <si>
    <t>X</t>
  </si>
  <si>
    <t>Y</t>
  </si>
  <si>
    <t>Z</t>
  </si>
  <si>
    <t>Soil sub sample Dry weight+ boat (g)</t>
  </si>
  <si>
    <t>F1_BD_B-2</t>
  </si>
  <si>
    <t>A5</t>
  </si>
  <si>
    <t>F2_BD_A-3</t>
  </si>
  <si>
    <t>A6</t>
  </si>
  <si>
    <t>F3_BD_A-3</t>
  </si>
  <si>
    <t>A8</t>
  </si>
  <si>
    <t>F3_BD_B-2</t>
  </si>
  <si>
    <t>A7</t>
  </si>
  <si>
    <t>F4_BD_B-3</t>
  </si>
  <si>
    <t>A11</t>
  </si>
  <si>
    <t>F2_BD_A-2</t>
  </si>
  <si>
    <t>A12</t>
  </si>
  <si>
    <t>R1_BD_B-2</t>
  </si>
  <si>
    <t>A10</t>
  </si>
  <si>
    <t>R1_BD_B-1</t>
  </si>
  <si>
    <t>A9</t>
  </si>
  <si>
    <t>F4_BD_B1</t>
  </si>
  <si>
    <t>A1</t>
  </si>
  <si>
    <t>R2_BD_B-1</t>
  </si>
  <si>
    <t>A2</t>
  </si>
  <si>
    <t>F1_BD_A-2</t>
  </si>
  <si>
    <t>A3</t>
  </si>
  <si>
    <t>F3_BD_A-1</t>
  </si>
  <si>
    <t>A4</t>
  </si>
  <si>
    <t>R1_BD_A-1</t>
  </si>
  <si>
    <t>A13</t>
  </si>
  <si>
    <t>R2_BD_A-1</t>
  </si>
  <si>
    <t>A14</t>
  </si>
  <si>
    <t>R1_BD_B-3</t>
  </si>
  <si>
    <t>A15</t>
  </si>
  <si>
    <t>F3_BD_B-3</t>
  </si>
  <si>
    <t>A16</t>
  </si>
  <si>
    <t>F1_BD_A1</t>
  </si>
  <si>
    <t>F1_BD_B3</t>
  </si>
  <si>
    <t>R2_BD_A3</t>
  </si>
  <si>
    <t>F3_BD_B1</t>
  </si>
  <si>
    <t>F4_BD_A1</t>
  </si>
  <si>
    <t>F2_BD_A1</t>
  </si>
  <si>
    <t>F1_BD_A3</t>
  </si>
  <si>
    <t>F1_BD_B1</t>
  </si>
  <si>
    <t>R1_BD_A3</t>
  </si>
  <si>
    <t>F2_BD_B2</t>
  </si>
  <si>
    <t>F2_BD_B3</t>
  </si>
  <si>
    <t>F4_BD_A3</t>
  </si>
  <si>
    <t>F2_BD_B1</t>
  </si>
  <si>
    <t>R2_BD_B3</t>
  </si>
  <si>
    <t>R2_BD_B2</t>
  </si>
  <si>
    <t>F4_BD_B2</t>
  </si>
  <si>
    <t>F4_BD_A2</t>
  </si>
  <si>
    <t>R2_BD_A2</t>
  </si>
  <si>
    <t>F3_BD_A2</t>
  </si>
  <si>
    <t>R1_BD_A2</t>
  </si>
  <si>
    <t> </t>
  </si>
  <si>
    <t>soil label</t>
  </si>
  <si>
    <t>sample weights (g)</t>
  </si>
  <si>
    <t>mason jar #</t>
  </si>
  <si>
    <t>sieve size</t>
  </si>
  <si>
    <t>Dry weight + jar</t>
  </si>
  <si>
    <t>HMP dry weight (g)</t>
  </si>
  <si>
    <t>Change in dry weights</t>
  </si>
  <si>
    <t>2mm</t>
  </si>
  <si>
    <t>250um</t>
  </si>
  <si>
    <t>125um</t>
  </si>
  <si>
    <t>53um</t>
  </si>
  <si>
    <t>B1</t>
  </si>
  <si>
    <t>B2</t>
  </si>
  <si>
    <t>B3</t>
  </si>
  <si>
    <t>B4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</si>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</sst>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9C0006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4" fillId="0" borderId="5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166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4" fillId="0" borderId="8" xfId="0" applyFont="1" applyFill="1" applyBorder="1" applyAlignment="1"/>
    <xf numFmtId="0" fontId="4" fillId="0" borderId="11" xfId="0" applyFont="1" applyFill="1" applyBorder="1" applyAlignment="1"/>
    <xf numFmtId="0" fontId="4" fillId="0" borderId="11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10" xfId="0" applyFont="1" applyFill="1" applyBorder="1" applyAlignment="1"/>
    <xf numFmtId="0" fontId="4" fillId="0" borderId="13" xfId="0" applyFont="1" applyFill="1" applyBorder="1" applyAlignment="1"/>
    <xf numFmtId="0" fontId="4" fillId="0" borderId="5" xfId="0" applyFont="1" applyFill="1" applyBorder="1" applyAlignment="1"/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6" xfId="0" applyFont="1" applyFill="1" applyBorder="1" applyAlignment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D201-DA27-4630-A15E-5E1A49AD5BC7}">
  <dimension ref="A1:AN43"/>
  <sheetViews>
    <sheetView tabSelected="1" zoomScale="64" zoomScaleNormal="55" workbookViewId="0">
      <pane xSplit="2" topLeftCell="C21" activePane="topRight" state="frozen"/>
      <selection pane="topRight" activeCell="A41" sqref="A41:U43"/>
    </sheetView>
  </sheetViews>
  <sheetFormatPr defaultRowHeight="15"/>
  <cols>
    <col min="2" max="2" width="17.85546875" style="4" customWidth="1"/>
    <col min="3" max="3" width="12.42578125" style="4" customWidth="1"/>
    <col min="4" max="7" width="8.85546875" style="4" bestFit="1" customWidth="1"/>
    <col min="8" max="9" width="8.7109375" style="4"/>
    <col min="10" max="11" width="8.85546875" style="4" bestFit="1" customWidth="1"/>
    <col min="12" max="12" width="8.85546875" style="4" customWidth="1"/>
    <col min="13" max="20" width="8.85546875" style="4" bestFit="1" customWidth="1"/>
    <col min="21" max="21" width="12" style="4" bestFit="1" customWidth="1"/>
    <col min="22" max="22" width="9.42578125" style="5" customWidth="1"/>
    <col min="23" max="27" width="8.85546875" style="5" bestFit="1" customWidth="1"/>
    <col min="28" max="34" width="8.7109375" style="5"/>
    <col min="35" max="35" width="9" style="5" bestFit="1" customWidth="1"/>
    <col min="36" max="39" width="8.7109375" style="5"/>
  </cols>
  <sheetData>
    <row r="1" spans="1:40" s="1" customFormat="1" ht="101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21</v>
      </c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1" t="s">
        <v>27</v>
      </c>
    </row>
    <row r="2" spans="1:40">
      <c r="A2">
        <v>25</v>
      </c>
      <c r="B2" s="6" t="s">
        <v>28</v>
      </c>
      <c r="C2" s="7">
        <v>631</v>
      </c>
      <c r="D2" s="7">
        <v>98.6</v>
      </c>
      <c r="E2" s="7">
        <v>253.67</v>
      </c>
      <c r="F2" s="7">
        <f>E2-D2</f>
        <v>155.07</v>
      </c>
      <c r="G2" s="7">
        <v>112</v>
      </c>
      <c r="H2" s="7"/>
      <c r="I2" s="7"/>
      <c r="J2" s="7">
        <v>1</v>
      </c>
      <c r="K2" s="9">
        <v>197.78</v>
      </c>
      <c r="L2" s="9">
        <f>D2+K2</f>
        <v>296.38</v>
      </c>
      <c r="M2" s="7">
        <v>1.28</v>
      </c>
      <c r="N2" s="7">
        <v>3.39</v>
      </c>
      <c r="O2" s="7">
        <f>N2-M2</f>
        <v>2.1100000000000003</v>
      </c>
      <c r="P2" s="7">
        <v>2.2050999999999998</v>
      </c>
      <c r="Q2" s="7">
        <f>P2-M2</f>
        <v>0.92509999999999981</v>
      </c>
      <c r="R2" s="7">
        <v>5.5</v>
      </c>
      <c r="S2" s="7">
        <v>5.4</v>
      </c>
      <c r="T2" s="7">
        <v>5.4</v>
      </c>
      <c r="U2" s="65">
        <f>AVERAGE(R2,S2,T2)</f>
        <v>5.4333333333333336</v>
      </c>
      <c r="V2" s="12">
        <v>2</v>
      </c>
      <c r="W2" s="12">
        <v>24.4251</v>
      </c>
      <c r="X2" s="12">
        <v>28.122199999999999</v>
      </c>
      <c r="Y2" s="12">
        <v>27.3324</v>
      </c>
      <c r="Z2" s="12">
        <v>-1.85</v>
      </c>
      <c r="AA2" s="12">
        <v>24.8</v>
      </c>
      <c r="AB2" s="12">
        <v>3</v>
      </c>
      <c r="AC2" s="12">
        <v>24.497</v>
      </c>
      <c r="AD2" s="12">
        <v>29.5824</v>
      </c>
      <c r="AE2" s="12">
        <v>28.4315</v>
      </c>
      <c r="AF2" s="12">
        <v>-0.44</v>
      </c>
      <c r="AG2" s="12">
        <v>24.9</v>
      </c>
      <c r="AH2" s="12">
        <v>22</v>
      </c>
      <c r="AI2" s="12">
        <v>24.574100000000001</v>
      </c>
      <c r="AJ2" s="12">
        <v>29.908999999999999</v>
      </c>
      <c r="AK2" s="12">
        <v>28.623999999999999</v>
      </c>
      <c r="AL2" s="12">
        <v>0.8</v>
      </c>
      <c r="AM2" s="12">
        <v>24.9</v>
      </c>
    </row>
    <row r="3" spans="1:40">
      <c r="A3">
        <v>3</v>
      </c>
      <c r="B3" s="21" t="s">
        <v>29</v>
      </c>
      <c r="C3" s="4">
        <v>1396</v>
      </c>
      <c r="D3" s="4">
        <v>93.8</v>
      </c>
      <c r="E3" s="4">
        <v>222.61</v>
      </c>
      <c r="F3" s="4">
        <f>E3-D3</f>
        <v>128.81</v>
      </c>
      <c r="G3" s="4">
        <v>85.53</v>
      </c>
      <c r="J3" s="15">
        <v>3</v>
      </c>
      <c r="K3" s="15">
        <v>194.82</v>
      </c>
      <c r="L3" s="9">
        <f>D3+K3</f>
        <v>288.62</v>
      </c>
      <c r="M3" s="4">
        <v>2.13</v>
      </c>
      <c r="N3" s="4">
        <v>14.38</v>
      </c>
      <c r="O3" s="4">
        <f>N3-M3</f>
        <v>12.25</v>
      </c>
      <c r="P3" s="4">
        <v>9.3000000000000007</v>
      </c>
      <c r="Q3" s="4">
        <f>P3-M3</f>
        <v>7.1700000000000008</v>
      </c>
      <c r="R3" s="4">
        <v>5.7</v>
      </c>
      <c r="S3" s="4">
        <v>5.7</v>
      </c>
      <c r="T3" s="4">
        <v>5.5</v>
      </c>
      <c r="U3" s="16">
        <f>AVERAGE(R3,S3,T3)</f>
        <v>5.6333333333333329</v>
      </c>
      <c r="V3" s="1">
        <v>7</v>
      </c>
      <c r="W3" s="5">
        <v>24.707100000000001</v>
      </c>
      <c r="X3" s="5">
        <v>26.607700000000001</v>
      </c>
      <c r="Y3" s="5">
        <v>26.404</v>
      </c>
      <c r="Z3" s="5">
        <v>-31.89</v>
      </c>
      <c r="AA3" s="5">
        <v>24.8</v>
      </c>
      <c r="AB3" s="1">
        <v>8</v>
      </c>
      <c r="AC3" s="5">
        <v>24.725300000000001</v>
      </c>
      <c r="AD3" s="5">
        <v>28.293500000000002</v>
      </c>
      <c r="AE3" s="5">
        <v>27.470099999999999</v>
      </c>
      <c r="AF3" s="5">
        <v>-1.55</v>
      </c>
      <c r="AG3" s="5">
        <v>24.9</v>
      </c>
      <c r="AH3" s="1">
        <v>9</v>
      </c>
      <c r="AI3" s="5">
        <v>24.537400000000002</v>
      </c>
      <c r="AJ3" s="5">
        <v>29.1099</v>
      </c>
      <c r="AK3" s="5">
        <v>28.043700000000001</v>
      </c>
      <c r="AL3" s="5">
        <v>-0.97</v>
      </c>
      <c r="AM3" s="5">
        <v>24.8</v>
      </c>
      <c r="AN3" t="s">
        <v>30</v>
      </c>
    </row>
    <row r="4" spans="1:40">
      <c r="A4">
        <v>4</v>
      </c>
      <c r="B4" s="21" t="s">
        <v>31</v>
      </c>
      <c r="C4" s="4">
        <v>1299</v>
      </c>
      <c r="D4" s="4">
        <v>93.7</v>
      </c>
      <c r="E4" s="4">
        <v>229.29</v>
      </c>
      <c r="F4" s="4">
        <f>E4-D4</f>
        <v>135.58999999999997</v>
      </c>
      <c r="G4" s="4">
        <v>90.28</v>
      </c>
      <c r="J4" s="15">
        <v>4</v>
      </c>
      <c r="K4" s="15">
        <v>195.66</v>
      </c>
      <c r="L4" s="9">
        <f>D4+K4</f>
        <v>289.36</v>
      </c>
      <c r="M4" s="4">
        <v>2.1</v>
      </c>
      <c r="N4" s="4">
        <v>14.64</v>
      </c>
      <c r="O4" s="4">
        <f>N4-M4</f>
        <v>12.540000000000001</v>
      </c>
      <c r="P4" s="4">
        <v>8.1</v>
      </c>
      <c r="Q4" s="4">
        <f>P4-M4</f>
        <v>6</v>
      </c>
      <c r="R4" s="4">
        <v>6</v>
      </c>
      <c r="S4" s="4">
        <v>5.35</v>
      </c>
      <c r="T4" s="4">
        <v>5.6</v>
      </c>
      <c r="U4" s="16">
        <f>AVERAGE(R4,S4,T4)</f>
        <v>5.6499999999999995</v>
      </c>
      <c r="V4" s="1">
        <v>20</v>
      </c>
      <c r="W4" s="5">
        <v>22.6846</v>
      </c>
      <c r="X4" s="5">
        <v>24.145199999999999</v>
      </c>
      <c r="Y4" s="5">
        <v>23.9739</v>
      </c>
      <c r="Z4" s="5">
        <v>-29.73</v>
      </c>
      <c r="AA4" s="5">
        <v>24.9</v>
      </c>
      <c r="AB4" s="1">
        <v>21</v>
      </c>
      <c r="AC4" s="5">
        <v>24.2227</v>
      </c>
      <c r="AD4" s="5">
        <v>26.847100000000001</v>
      </c>
      <c r="AE4" s="5">
        <v>26.244900000000001</v>
      </c>
      <c r="AF4" s="5">
        <v>-1.82</v>
      </c>
      <c r="AG4" s="5">
        <v>24.9</v>
      </c>
      <c r="AH4" s="1">
        <v>22</v>
      </c>
      <c r="AI4" s="5">
        <v>24.573499999999999</v>
      </c>
      <c r="AJ4" s="5">
        <v>28.364799999999999</v>
      </c>
      <c r="AK4" s="5">
        <v>27.527100000000001</v>
      </c>
      <c r="AL4" s="5">
        <v>-1.22</v>
      </c>
      <c r="AM4" s="5">
        <v>24.8</v>
      </c>
    </row>
    <row r="5" spans="1:40">
      <c r="A5">
        <v>21</v>
      </c>
      <c r="B5" s="13" t="s">
        <v>32</v>
      </c>
      <c r="C5" s="4">
        <v>1483</v>
      </c>
      <c r="D5" s="4">
        <v>94.2</v>
      </c>
      <c r="E5" s="4">
        <v>259.92</v>
      </c>
      <c r="F5" s="4">
        <f>E5-D5</f>
        <v>165.72000000000003</v>
      </c>
      <c r="G5" s="4">
        <v>122.51</v>
      </c>
      <c r="J5" s="4">
        <v>4</v>
      </c>
      <c r="K5" s="15">
        <v>195.66</v>
      </c>
      <c r="L5" s="9">
        <f>D5+K5</f>
        <v>289.86</v>
      </c>
      <c r="M5" s="4">
        <v>1.29</v>
      </c>
      <c r="N5" s="4">
        <v>2.78</v>
      </c>
      <c r="O5" s="4">
        <f>N5-M5</f>
        <v>1.4899999999999998</v>
      </c>
      <c r="P5" s="4">
        <v>2.2242000000000002</v>
      </c>
      <c r="Q5" s="4">
        <f>P5-M5</f>
        <v>0.93420000000000014</v>
      </c>
      <c r="R5" s="4">
        <v>5.5</v>
      </c>
      <c r="S5" s="4">
        <v>5.45</v>
      </c>
      <c r="T5" s="4">
        <v>5.5</v>
      </c>
      <c r="U5" s="26">
        <f>AVERAGE(R5,S5,T5)</f>
        <v>5.4833333333333334</v>
      </c>
      <c r="V5" s="5">
        <v>12</v>
      </c>
      <c r="W5" s="5">
        <v>24.568000000000001</v>
      </c>
      <c r="X5" s="5">
        <v>27.064900000000002</v>
      </c>
      <c r="Y5" s="5">
        <v>27.1968</v>
      </c>
      <c r="Z5" s="5">
        <v>-14.76</v>
      </c>
      <c r="AA5" s="5">
        <v>24.8</v>
      </c>
      <c r="AB5" s="5">
        <v>13</v>
      </c>
      <c r="AC5" s="5">
        <v>23.497800000000002</v>
      </c>
      <c r="AD5" s="5">
        <v>26.737200000000001</v>
      </c>
      <c r="AE5" s="5">
        <v>26.377500000000001</v>
      </c>
      <c r="AF5" s="5">
        <v>-8.1199999999999992</v>
      </c>
      <c r="AG5" s="5">
        <v>24.9</v>
      </c>
      <c r="AH5" s="5">
        <v>22</v>
      </c>
      <c r="AI5" s="5">
        <v>24.5748</v>
      </c>
      <c r="AJ5" s="5">
        <v>29.0839</v>
      </c>
      <c r="AK5" s="5">
        <v>28.343299999999999</v>
      </c>
      <c r="AL5" s="5">
        <v>-2.39</v>
      </c>
      <c r="AM5" s="5">
        <v>24.9</v>
      </c>
      <c r="AN5" t="s">
        <v>33</v>
      </c>
    </row>
    <row r="6" spans="1:40">
      <c r="A6">
        <v>8</v>
      </c>
      <c r="B6" s="27" t="s">
        <v>34</v>
      </c>
      <c r="C6" s="4">
        <v>1320</v>
      </c>
      <c r="D6" s="4">
        <v>94.9</v>
      </c>
      <c r="E6" s="4">
        <v>243.07</v>
      </c>
      <c r="F6" s="4">
        <f>E6-D6</f>
        <v>148.16999999999999</v>
      </c>
      <c r="G6" s="4">
        <v>100.95</v>
      </c>
      <c r="J6" s="14">
        <v>4</v>
      </c>
      <c r="K6" s="15">
        <v>195.66</v>
      </c>
      <c r="L6" s="9">
        <f>D6+K6</f>
        <v>290.56</v>
      </c>
      <c r="M6" s="4">
        <v>1.28</v>
      </c>
      <c r="N6" s="4">
        <v>6.84</v>
      </c>
      <c r="O6" s="4">
        <f>N6-M6</f>
        <v>5.56</v>
      </c>
      <c r="P6" s="4">
        <v>4.7239000000000004</v>
      </c>
      <c r="Q6" s="4">
        <f>P6-M6</f>
        <v>3.4439000000000002</v>
      </c>
      <c r="R6" s="4">
        <v>5.7</v>
      </c>
      <c r="S6" s="4">
        <v>5.5</v>
      </c>
      <c r="T6" s="4">
        <v>5.7</v>
      </c>
      <c r="U6" s="16">
        <f>AVERAGE(R6,S6,T6)</f>
        <v>5.6333333333333329</v>
      </c>
      <c r="V6" s="1">
        <v>29</v>
      </c>
      <c r="W6" s="5">
        <v>24.7392</v>
      </c>
      <c r="X6" s="5">
        <v>28.9908</v>
      </c>
      <c r="Y6" s="5">
        <v>28.505199999999999</v>
      </c>
      <c r="Z6" s="5">
        <v>-3.38</v>
      </c>
      <c r="AA6" s="5">
        <v>24.9</v>
      </c>
      <c r="AB6" s="1">
        <v>30</v>
      </c>
      <c r="AC6" s="5">
        <v>24.7593</v>
      </c>
      <c r="AD6" s="5">
        <v>30.1172</v>
      </c>
      <c r="AE6" s="5">
        <v>29.141400000000001</v>
      </c>
      <c r="AF6" s="5">
        <v>-3.38</v>
      </c>
      <c r="AG6" s="5">
        <v>24.9</v>
      </c>
      <c r="AH6" s="1">
        <v>3</v>
      </c>
      <c r="AI6" s="5">
        <v>24.495799999999999</v>
      </c>
      <c r="AJ6" s="5">
        <v>29.647099999999998</v>
      </c>
      <c r="AK6" s="5">
        <v>28.618099999999998</v>
      </c>
      <c r="AL6" s="5">
        <v>-2.15</v>
      </c>
      <c r="AM6" s="5">
        <v>24.9</v>
      </c>
    </row>
    <row r="7" spans="1:40">
      <c r="A7">
        <v>22</v>
      </c>
      <c r="B7" s="17" t="s">
        <v>35</v>
      </c>
      <c r="C7" s="18">
        <v>1290</v>
      </c>
      <c r="D7" s="18">
        <v>93.5</v>
      </c>
      <c r="E7" s="18">
        <v>264.48</v>
      </c>
      <c r="F7" s="18">
        <f>E7-D7</f>
        <v>170.98000000000002</v>
      </c>
      <c r="G7" s="18">
        <v>119.2</v>
      </c>
      <c r="H7" s="18"/>
      <c r="I7" s="18"/>
      <c r="J7" s="18">
        <v>5</v>
      </c>
      <c r="K7" s="23">
        <v>193.86</v>
      </c>
      <c r="L7" s="9">
        <f>D7+K7</f>
        <v>287.36</v>
      </c>
      <c r="M7" s="18">
        <v>1.28</v>
      </c>
      <c r="N7" s="18">
        <v>4.03</v>
      </c>
      <c r="O7" s="18">
        <f>N7-M7</f>
        <v>2.75</v>
      </c>
      <c r="P7" s="18">
        <v>3.2048999999999999</v>
      </c>
      <c r="Q7" s="18">
        <f>P7-M7</f>
        <v>1.9248999999999998</v>
      </c>
      <c r="R7" s="18">
        <v>5.3</v>
      </c>
      <c r="S7" s="18">
        <v>5.3</v>
      </c>
      <c r="T7" s="18">
        <v>5.3</v>
      </c>
      <c r="U7" s="18">
        <f>AVERAGE(R7,S7,T7)</f>
        <v>5.3</v>
      </c>
      <c r="V7" s="19">
        <v>17</v>
      </c>
      <c r="W7" s="19">
        <v>23.492899999999999</v>
      </c>
      <c r="X7" s="19">
        <v>27.512599999999999</v>
      </c>
      <c r="Y7" s="19">
        <v>26.917000000000002</v>
      </c>
      <c r="Z7" s="19">
        <v>-4</v>
      </c>
      <c r="AA7" s="19">
        <v>249.9</v>
      </c>
      <c r="AB7" s="19">
        <v>22</v>
      </c>
      <c r="AC7" s="19">
        <v>24.223109999999998</v>
      </c>
      <c r="AD7" s="19">
        <v>29.776499999999999</v>
      </c>
      <c r="AE7" s="19">
        <v>29.150400000000001</v>
      </c>
      <c r="AF7" s="19">
        <v>-8.17</v>
      </c>
      <c r="AG7" s="19">
        <v>24.9</v>
      </c>
      <c r="AH7" s="19">
        <v>25</v>
      </c>
      <c r="AI7" s="19">
        <v>25.024100000000001</v>
      </c>
      <c r="AJ7" s="19">
        <v>29.6264</v>
      </c>
      <c r="AK7" s="19">
        <v>28.968900000000001</v>
      </c>
      <c r="AL7" s="19">
        <v>-4.25</v>
      </c>
      <c r="AM7" s="19">
        <v>24.9</v>
      </c>
    </row>
    <row r="8" spans="1:40">
      <c r="A8">
        <v>13</v>
      </c>
      <c r="B8" s="6" t="s">
        <v>36</v>
      </c>
      <c r="C8" s="7">
        <v>1174</v>
      </c>
      <c r="D8" s="7">
        <v>93.9</v>
      </c>
      <c r="E8" s="7">
        <v>229.8</v>
      </c>
      <c r="F8" s="7">
        <f>E8-D8</f>
        <v>135.9</v>
      </c>
      <c r="G8" s="7">
        <v>82.13</v>
      </c>
      <c r="H8" s="7"/>
      <c r="I8" s="7"/>
      <c r="J8" s="8">
        <v>6</v>
      </c>
      <c r="K8" s="9">
        <v>198.45</v>
      </c>
      <c r="L8" s="9">
        <f>D8+K8</f>
        <v>292.35000000000002</v>
      </c>
      <c r="M8" s="7">
        <v>1.29</v>
      </c>
      <c r="N8" s="7">
        <v>6.01</v>
      </c>
      <c r="O8" s="7">
        <f>N8-M8</f>
        <v>4.72</v>
      </c>
      <c r="P8" s="7">
        <v>3.9527000000000001</v>
      </c>
      <c r="Q8" s="7">
        <f>P8-M8</f>
        <v>2.6627000000000001</v>
      </c>
      <c r="R8" s="7">
        <v>5.5</v>
      </c>
      <c r="S8" s="7">
        <v>5.4</v>
      </c>
      <c r="T8" s="7">
        <v>5.5</v>
      </c>
      <c r="U8" s="10">
        <f>AVERAGE(R8,S8,T8)</f>
        <v>5.4666666666666659</v>
      </c>
      <c r="V8" s="12">
        <v>12</v>
      </c>
      <c r="W8" s="12">
        <v>24.567799999999998</v>
      </c>
      <c r="X8" s="12">
        <v>27.730499999999999</v>
      </c>
      <c r="Y8" s="12">
        <v>27.0566</v>
      </c>
      <c r="Z8" s="12">
        <v>-2.67</v>
      </c>
      <c r="AA8" s="12">
        <v>24.9</v>
      </c>
      <c r="AB8" s="12">
        <v>13</v>
      </c>
      <c r="AC8" s="12" t="s">
        <v>37</v>
      </c>
      <c r="AD8" s="12">
        <v>25.984999999999999</v>
      </c>
      <c r="AE8" s="12">
        <v>25.478400000000001</v>
      </c>
      <c r="AF8" s="12">
        <v>-4.67</v>
      </c>
      <c r="AG8" s="12">
        <v>24.9</v>
      </c>
      <c r="AH8" s="12">
        <v>15</v>
      </c>
      <c r="AI8" s="12">
        <v>23.408000000000001</v>
      </c>
      <c r="AJ8" s="12">
        <v>24.948699999999999</v>
      </c>
      <c r="AK8" s="12">
        <v>24.796099999999999</v>
      </c>
      <c r="AL8" s="12">
        <v>-36.21</v>
      </c>
      <c r="AM8" s="12">
        <v>25</v>
      </c>
    </row>
    <row r="9" spans="1:40">
      <c r="A9">
        <v>6</v>
      </c>
      <c r="B9" s="21" t="s">
        <v>38</v>
      </c>
      <c r="C9" s="58">
        <v>1205</v>
      </c>
      <c r="D9" s="58">
        <v>94.2</v>
      </c>
      <c r="E9" s="58">
        <v>234.14</v>
      </c>
      <c r="F9" s="58">
        <f>E9-D9</f>
        <v>139.94</v>
      </c>
      <c r="G9" s="58">
        <v>95.33</v>
      </c>
      <c r="H9" s="58"/>
      <c r="I9" s="58"/>
      <c r="J9" s="57">
        <v>6</v>
      </c>
      <c r="K9" s="57">
        <v>198.45</v>
      </c>
      <c r="L9" s="9">
        <f>D9+K9</f>
        <v>292.64999999999998</v>
      </c>
      <c r="M9" s="58">
        <v>2.14</v>
      </c>
      <c r="N9" s="58">
        <v>13.28</v>
      </c>
      <c r="O9" s="58">
        <f>N9-M9</f>
        <v>11.139999999999999</v>
      </c>
      <c r="P9" s="58">
        <v>6.84</v>
      </c>
      <c r="Q9" s="58">
        <f>P9-M9</f>
        <v>4.6999999999999993</v>
      </c>
      <c r="R9" s="58">
        <v>5.6</v>
      </c>
      <c r="S9" s="58">
        <v>5.5</v>
      </c>
      <c r="T9" s="58">
        <v>5.6</v>
      </c>
      <c r="U9" s="68">
        <f>AVERAGE(R9,S9,T9)</f>
        <v>5.5666666666666664</v>
      </c>
      <c r="V9" s="70">
        <v>24</v>
      </c>
      <c r="W9" s="69">
        <v>24.6296</v>
      </c>
      <c r="X9" s="69">
        <v>27.121700000000001</v>
      </c>
      <c r="Y9" s="69">
        <v>26.699400000000001</v>
      </c>
      <c r="Z9" s="69">
        <v>-7.14</v>
      </c>
      <c r="AA9" s="69">
        <v>24.9</v>
      </c>
      <c r="AB9" s="70">
        <v>28</v>
      </c>
      <c r="AC9" s="69">
        <v>24.555900000000001</v>
      </c>
      <c r="AD9" s="69">
        <v>27.346</v>
      </c>
      <c r="AE9" s="69">
        <v>26.5885</v>
      </c>
      <c r="AF9" s="69">
        <v>-0.46</v>
      </c>
      <c r="AG9" s="69">
        <v>24.9</v>
      </c>
      <c r="AH9" s="70">
        <v>29</v>
      </c>
      <c r="AI9" s="69">
        <v>24.739000000000001</v>
      </c>
      <c r="AJ9" s="69">
        <v>27.953600000000002</v>
      </c>
      <c r="AK9" s="69">
        <v>27.092700000000001</v>
      </c>
      <c r="AL9" s="69">
        <v>-0.27</v>
      </c>
      <c r="AM9" s="69">
        <v>24.9</v>
      </c>
    </row>
    <row r="10" spans="1:40">
      <c r="A10">
        <v>12</v>
      </c>
      <c r="B10" s="27" t="s">
        <v>39</v>
      </c>
      <c r="C10" s="58">
        <v>1201</v>
      </c>
      <c r="D10" s="58">
        <v>93.5</v>
      </c>
      <c r="E10" s="58">
        <v>229.38</v>
      </c>
      <c r="F10" s="58">
        <f>E10-D10</f>
        <v>135.88</v>
      </c>
      <c r="G10" s="58">
        <v>91.79</v>
      </c>
      <c r="H10" s="58"/>
      <c r="I10" s="58"/>
      <c r="J10" s="64">
        <v>2</v>
      </c>
      <c r="K10" s="57">
        <v>196.3</v>
      </c>
      <c r="L10" s="9">
        <f>D10+K10</f>
        <v>289.8</v>
      </c>
      <c r="M10" s="58">
        <v>2.08</v>
      </c>
      <c r="N10" s="58">
        <v>16.57</v>
      </c>
      <c r="O10" s="58">
        <f>N10-M10</f>
        <v>14.49</v>
      </c>
      <c r="P10" s="58">
        <v>9.4077000000000002</v>
      </c>
      <c r="Q10" s="58">
        <f>P10-M10</f>
        <v>7.3277000000000001</v>
      </c>
      <c r="R10" s="58">
        <v>5.6</v>
      </c>
      <c r="S10" s="58">
        <v>5.55</v>
      </c>
      <c r="T10" s="58">
        <v>5.5</v>
      </c>
      <c r="U10" s="68">
        <f>AVERAGE(R10,S10,T10)</f>
        <v>5.55</v>
      </c>
      <c r="V10" s="69">
        <v>20</v>
      </c>
      <c r="W10" s="69">
        <v>22.684999999999999</v>
      </c>
      <c r="X10" s="69">
        <v>23.661000000000001</v>
      </c>
      <c r="Y10" s="69">
        <v>23.4741</v>
      </c>
      <c r="Z10" s="69">
        <v>-7.21</v>
      </c>
      <c r="AA10" s="69">
        <v>25</v>
      </c>
      <c r="AB10" s="69"/>
      <c r="AC10" s="69"/>
      <c r="AD10" s="69"/>
      <c r="AE10" s="69"/>
      <c r="AF10" s="69"/>
      <c r="AG10" s="69"/>
      <c r="AH10" s="69">
        <v>22</v>
      </c>
      <c r="AI10" s="69">
        <v>24.223109999999998</v>
      </c>
      <c r="AJ10" s="69">
        <v>27.068200000000001</v>
      </c>
      <c r="AK10" s="69">
        <v>26.444199999999999</v>
      </c>
      <c r="AL10" s="69">
        <v>-0.66</v>
      </c>
      <c r="AM10" s="69">
        <v>24.9</v>
      </c>
    </row>
    <row r="11" spans="1:40">
      <c r="A11">
        <v>26</v>
      </c>
      <c r="B11" s="13" t="s">
        <v>40</v>
      </c>
      <c r="C11" s="4">
        <v>1182</v>
      </c>
      <c r="D11" s="4">
        <v>93.8</v>
      </c>
      <c r="E11" s="4">
        <v>265.52</v>
      </c>
      <c r="F11" s="4">
        <f>E11-D11</f>
        <v>171.71999999999997</v>
      </c>
      <c r="G11" s="4">
        <v>127.79</v>
      </c>
      <c r="J11" s="4">
        <v>4</v>
      </c>
      <c r="K11" s="15">
        <v>195.66</v>
      </c>
      <c r="L11" s="9">
        <f>D11+K11</f>
        <v>289.45999999999998</v>
      </c>
      <c r="M11" s="4">
        <v>1.28</v>
      </c>
      <c r="N11" s="4">
        <v>7.18</v>
      </c>
      <c r="O11" s="4">
        <f>N11-M11</f>
        <v>5.8999999999999995</v>
      </c>
      <c r="P11" s="4">
        <v>5.2515000000000001</v>
      </c>
      <c r="Q11" s="4">
        <f>P11-M11</f>
        <v>3.9714999999999998</v>
      </c>
      <c r="R11" s="4">
        <v>5.6</v>
      </c>
      <c r="S11" s="4">
        <v>5.3</v>
      </c>
      <c r="T11" s="4">
        <v>5.5</v>
      </c>
      <c r="U11" s="35">
        <f>AVERAGE(R11,S11,T11)</f>
        <v>5.4666666666666659</v>
      </c>
      <c r="V11" s="5">
        <v>17</v>
      </c>
      <c r="W11" s="5">
        <v>23.495899999999999</v>
      </c>
      <c r="X11" s="5">
        <v>28.436599999999999</v>
      </c>
      <c r="Y11" s="5">
        <v>27.845800000000001</v>
      </c>
      <c r="Z11" s="5">
        <v>-10.58</v>
      </c>
      <c r="AA11" s="5">
        <v>24.8</v>
      </c>
      <c r="AB11" s="5">
        <v>25</v>
      </c>
      <c r="AC11" s="5">
        <v>25.025500000000001</v>
      </c>
      <c r="AD11" s="5">
        <v>30.025500000000001</v>
      </c>
      <c r="AE11" s="5">
        <v>29.2925</v>
      </c>
      <c r="AF11" s="5">
        <v>-3.96</v>
      </c>
      <c r="AG11" s="5">
        <v>24.9</v>
      </c>
      <c r="AH11" s="5">
        <v>30</v>
      </c>
      <c r="AI11" s="5">
        <v>22.685199999999998</v>
      </c>
      <c r="AJ11" s="5">
        <v>28.4468</v>
      </c>
      <c r="AK11" s="5">
        <v>27.527200000000001</v>
      </c>
      <c r="AL11" s="5">
        <v>-3.07</v>
      </c>
      <c r="AM11" s="5">
        <v>24.8</v>
      </c>
    </row>
    <row r="12" spans="1:40">
      <c r="A12">
        <v>18</v>
      </c>
      <c r="B12" s="13" t="s">
        <v>41</v>
      </c>
      <c r="C12" s="58">
        <v>1286</v>
      </c>
      <c r="D12" s="58">
        <v>94.5</v>
      </c>
      <c r="E12" s="58">
        <v>273.64</v>
      </c>
      <c r="F12" s="58">
        <f>E12-D12</f>
        <v>179.14</v>
      </c>
      <c r="G12" s="58">
        <v>135.38999999999999</v>
      </c>
      <c r="H12" s="58"/>
      <c r="I12" s="58"/>
      <c r="J12" s="58">
        <v>3</v>
      </c>
      <c r="K12" s="15">
        <v>194.82</v>
      </c>
      <c r="L12" s="9">
        <f>D12+K12</f>
        <v>289.32</v>
      </c>
      <c r="M12" s="58">
        <v>1.28</v>
      </c>
      <c r="N12" s="58">
        <v>7.52</v>
      </c>
      <c r="O12" s="58">
        <f>N12-M12</f>
        <v>6.2399999999999993</v>
      </c>
      <c r="P12" s="58">
        <v>5.1558000000000002</v>
      </c>
      <c r="Q12" s="58">
        <f>P12-M12</f>
        <v>3.8757999999999999</v>
      </c>
      <c r="R12" s="58">
        <v>5.55</v>
      </c>
      <c r="S12" s="58">
        <v>5.5</v>
      </c>
      <c r="T12" s="58">
        <v>5.4</v>
      </c>
      <c r="U12" s="67">
        <f>AVERAGE(R12,S12,T12)</f>
        <v>5.4833333333333343</v>
      </c>
      <c r="V12" s="69">
        <v>3</v>
      </c>
      <c r="W12" s="69">
        <v>24.496300000000002</v>
      </c>
      <c r="X12" s="69">
        <v>28.688099999999999</v>
      </c>
      <c r="Y12" s="69">
        <v>27.995699999999999</v>
      </c>
      <c r="Z12" s="69">
        <v>-2.39</v>
      </c>
      <c r="AA12" s="69">
        <v>24.9</v>
      </c>
      <c r="AB12" s="69">
        <v>10</v>
      </c>
      <c r="AC12" s="69">
        <v>24.602900000000002</v>
      </c>
      <c r="AD12" s="69">
        <v>30.0899</v>
      </c>
      <c r="AE12" s="69">
        <v>29.243400000000001</v>
      </c>
      <c r="AF12" s="69">
        <v>-4.04</v>
      </c>
      <c r="AG12" s="69">
        <v>24.9</v>
      </c>
      <c r="AH12" s="69">
        <v>11</v>
      </c>
      <c r="AI12" s="69">
        <v>24.567799999999998</v>
      </c>
      <c r="AJ12" s="69">
        <v>27.730499999999999</v>
      </c>
      <c r="AK12" s="69">
        <v>27.964200000000002</v>
      </c>
      <c r="AL12" s="69">
        <v>-2.67</v>
      </c>
      <c r="AM12" s="69">
        <v>24.9</v>
      </c>
    </row>
    <row r="13" spans="1:40">
      <c r="A13">
        <v>20</v>
      </c>
      <c r="B13" s="17" t="s">
        <v>42</v>
      </c>
      <c r="C13" s="18">
        <v>1319</v>
      </c>
      <c r="D13" s="18">
        <v>93.8</v>
      </c>
      <c r="E13" s="18">
        <v>255.88</v>
      </c>
      <c r="F13" s="18">
        <f>E13-D13</f>
        <v>162.07999999999998</v>
      </c>
      <c r="G13" s="18">
        <v>114.53</v>
      </c>
      <c r="H13" s="18"/>
      <c r="I13" s="18"/>
      <c r="J13" s="18">
        <v>6</v>
      </c>
      <c r="K13" s="23">
        <v>198.45</v>
      </c>
      <c r="L13" s="9">
        <f>D13+K13</f>
        <v>292.25</v>
      </c>
      <c r="M13" s="18">
        <v>1.29</v>
      </c>
      <c r="N13" s="18">
        <v>9.9700000000000006</v>
      </c>
      <c r="O13" s="18">
        <f>N13-M13</f>
        <v>8.68</v>
      </c>
      <c r="P13" s="18">
        <v>4.2008000000000001</v>
      </c>
      <c r="Q13" s="18">
        <f>P13-M13</f>
        <v>2.9108000000000001</v>
      </c>
      <c r="R13" s="18">
        <v>5.3</v>
      </c>
      <c r="S13" s="18">
        <v>5.25</v>
      </c>
      <c r="T13" s="18">
        <v>5.5</v>
      </c>
      <c r="U13" s="18">
        <f>AVERAGE(R13,S13,T13)</f>
        <v>5.3500000000000005</v>
      </c>
      <c r="V13" s="19">
        <v>11</v>
      </c>
      <c r="W13" s="19">
        <v>24.688500000000001</v>
      </c>
      <c r="X13" s="19">
        <v>28.489000000000001</v>
      </c>
      <c r="Y13" s="19">
        <v>27.8368</v>
      </c>
      <c r="Z13" s="19">
        <v>-3.68</v>
      </c>
      <c r="AA13" s="19">
        <v>24.9</v>
      </c>
      <c r="AB13" s="19">
        <v>30</v>
      </c>
      <c r="AC13" s="19">
        <v>24.759599999999999</v>
      </c>
      <c r="AD13" s="19">
        <v>28.051100000000002</v>
      </c>
      <c r="AE13" s="19">
        <v>27.433299999999999</v>
      </c>
      <c r="AF13" s="19">
        <v>-1.82</v>
      </c>
      <c r="AG13" s="19">
        <v>24.9</v>
      </c>
      <c r="AH13" s="19">
        <v>3</v>
      </c>
      <c r="AI13" s="19">
        <v>24.497599999999998</v>
      </c>
      <c r="AJ13" s="19">
        <v>28.727</v>
      </c>
      <c r="AK13" s="19">
        <v>27.8125</v>
      </c>
      <c r="AL13" s="19">
        <v>-0.55000000000000004</v>
      </c>
      <c r="AM13" s="19">
        <v>24.9</v>
      </c>
    </row>
    <row r="14" spans="1:40">
      <c r="A14">
        <v>5</v>
      </c>
      <c r="B14" s="20" t="s">
        <v>43</v>
      </c>
      <c r="C14" s="7">
        <v>596</v>
      </c>
      <c r="D14" s="7">
        <v>96.41</v>
      </c>
      <c r="E14" s="7">
        <v>229.78</v>
      </c>
      <c r="F14" s="7">
        <f>E14-D14</f>
        <v>133.37</v>
      </c>
      <c r="G14" s="7">
        <v>88.64</v>
      </c>
      <c r="H14" s="7"/>
      <c r="I14" s="7"/>
      <c r="J14" s="9">
        <v>5</v>
      </c>
      <c r="K14" s="9">
        <v>193.86</v>
      </c>
      <c r="L14" s="9">
        <f>D14+K14</f>
        <v>290.27</v>
      </c>
      <c r="M14" s="7">
        <v>2.11</v>
      </c>
      <c r="N14" s="7">
        <v>13.21</v>
      </c>
      <c r="O14" s="7">
        <f>N14-M14</f>
        <v>11.100000000000001</v>
      </c>
      <c r="P14" s="7">
        <v>7.04</v>
      </c>
      <c r="Q14" s="7">
        <f>P14-M14</f>
        <v>4.93</v>
      </c>
      <c r="R14" s="7">
        <v>5.3</v>
      </c>
      <c r="S14" s="7">
        <v>5.4</v>
      </c>
      <c r="T14" s="7">
        <v>5.4</v>
      </c>
      <c r="U14" s="10">
        <f>AVERAGE(R14,S14,T14)</f>
        <v>5.3666666666666671</v>
      </c>
      <c r="V14" s="11">
        <v>10</v>
      </c>
      <c r="W14" s="12">
        <v>24.602699999999999</v>
      </c>
      <c r="X14" s="12">
        <v>27.251999999999999</v>
      </c>
      <c r="Y14" s="12">
        <v>26.982700000000001</v>
      </c>
      <c r="Z14" s="12">
        <v>-18.37</v>
      </c>
      <c r="AA14" s="12">
        <v>24.9</v>
      </c>
      <c r="AB14" s="11">
        <v>11</v>
      </c>
      <c r="AC14" s="12">
        <v>24.6877</v>
      </c>
      <c r="AD14" s="12">
        <v>26.2727</v>
      </c>
      <c r="AE14" s="5">
        <v>16.0517</v>
      </c>
      <c r="AF14" s="12">
        <v>-5.43</v>
      </c>
      <c r="AG14" s="12">
        <v>24.8</v>
      </c>
      <c r="AH14" s="11">
        <v>12</v>
      </c>
      <c r="AI14" s="12">
        <v>24.5672</v>
      </c>
      <c r="AJ14" s="12">
        <v>26.511900000000001</v>
      </c>
      <c r="AK14" s="12">
        <v>26.254000000000001</v>
      </c>
      <c r="AL14" s="12">
        <v>-6.09</v>
      </c>
      <c r="AM14" s="12">
        <v>24.8</v>
      </c>
    </row>
    <row r="15" spans="1:40">
      <c r="A15">
        <v>27</v>
      </c>
      <c r="B15" s="13" t="s">
        <v>44</v>
      </c>
      <c r="C15" s="4">
        <v>1326</v>
      </c>
      <c r="D15" s="4">
        <v>93.3</v>
      </c>
      <c r="E15" s="4">
        <v>240.87</v>
      </c>
      <c r="F15" s="4">
        <f>E15-D15</f>
        <v>147.57</v>
      </c>
      <c r="G15" s="4">
        <v>81.97</v>
      </c>
      <c r="J15" s="4">
        <v>3</v>
      </c>
      <c r="K15" s="4">
        <v>194.82</v>
      </c>
      <c r="L15" s="9">
        <f>D15+K15</f>
        <v>288.12</v>
      </c>
      <c r="M15" s="4">
        <v>1.28</v>
      </c>
      <c r="N15" s="4">
        <v>6.17</v>
      </c>
      <c r="O15" s="4">
        <f>N15-M15</f>
        <v>4.8899999999999997</v>
      </c>
      <c r="P15" s="4">
        <v>3.4419</v>
      </c>
      <c r="Q15" s="4">
        <f>P15-M15</f>
        <v>2.1619000000000002</v>
      </c>
      <c r="R15" s="4">
        <v>5.6</v>
      </c>
      <c r="S15" s="4">
        <v>5.5</v>
      </c>
      <c r="T15" s="4">
        <v>5.3</v>
      </c>
      <c r="U15" s="35">
        <f>AVERAGE(R15,S15,T15)</f>
        <v>5.4666666666666659</v>
      </c>
      <c r="V15" s="5">
        <v>7</v>
      </c>
      <c r="W15" s="5">
        <v>24.707000000000001</v>
      </c>
      <c r="X15" s="5">
        <v>29.497399999999999</v>
      </c>
      <c r="Y15" s="5">
        <v>28.861799999999999</v>
      </c>
      <c r="Z15" s="5">
        <v>-3.73</v>
      </c>
      <c r="AA15" s="5">
        <v>24.9</v>
      </c>
      <c r="AB15" s="5">
        <v>8</v>
      </c>
      <c r="AC15" s="5">
        <v>24.725200000000001</v>
      </c>
      <c r="AD15" s="5">
        <v>28.4116</v>
      </c>
      <c r="AE15" s="5">
        <v>28.009799999999998</v>
      </c>
      <c r="AF15" s="5">
        <v>-8.8699999999999992</v>
      </c>
      <c r="AG15" s="5">
        <v>24.9</v>
      </c>
      <c r="AH15" s="5">
        <v>9</v>
      </c>
      <c r="AI15" s="5">
        <v>24.537400000000002</v>
      </c>
      <c r="AJ15" s="5">
        <v>26.475100000000001</v>
      </c>
      <c r="AK15" s="5">
        <v>26.344200000000001</v>
      </c>
      <c r="AL15" s="5">
        <v>-83.07</v>
      </c>
      <c r="AM15" s="5">
        <v>24.9</v>
      </c>
    </row>
    <row r="16" spans="1:40">
      <c r="A16">
        <v>9</v>
      </c>
      <c r="B16" s="27" t="s">
        <v>45</v>
      </c>
      <c r="C16" s="4">
        <v>1266</v>
      </c>
      <c r="D16" s="4">
        <v>94.9</v>
      </c>
      <c r="E16" s="4">
        <v>235.67</v>
      </c>
      <c r="F16" s="4">
        <f>E16-D16</f>
        <v>140.76999999999998</v>
      </c>
      <c r="G16" s="4">
        <v>96.17</v>
      </c>
      <c r="J16" s="14">
        <v>6</v>
      </c>
      <c r="K16" s="15">
        <v>198.45</v>
      </c>
      <c r="L16" s="9">
        <f>D16+K16</f>
        <v>293.35000000000002</v>
      </c>
      <c r="M16" s="4">
        <v>2.1</v>
      </c>
      <c r="N16" s="4">
        <v>5.36</v>
      </c>
      <c r="O16" s="4">
        <f>N16-M16</f>
        <v>3.2600000000000002</v>
      </c>
      <c r="P16" s="4">
        <v>4.0068000000000001</v>
      </c>
      <c r="Q16" s="4">
        <f>P16-M16</f>
        <v>1.9068000000000001</v>
      </c>
      <c r="R16" s="4">
        <v>5.6</v>
      </c>
      <c r="S16" s="4">
        <v>5.45</v>
      </c>
      <c r="T16" s="4">
        <v>5.3</v>
      </c>
      <c r="U16" s="16">
        <f>AVERAGE(R16,S16,T16)</f>
        <v>5.45</v>
      </c>
      <c r="V16" s="1">
        <v>14</v>
      </c>
      <c r="W16" s="5">
        <v>23.536999999999999</v>
      </c>
      <c r="X16" s="5">
        <v>26.143599999999999</v>
      </c>
      <c r="Y16" s="5">
        <v>25.718</v>
      </c>
      <c r="Z16" s="5">
        <v>-5.76</v>
      </c>
      <c r="AA16" s="5">
        <v>24.9</v>
      </c>
      <c r="AB16" s="1">
        <v>16</v>
      </c>
      <c r="AC16" s="5">
        <v>24.8749</v>
      </c>
      <c r="AD16" s="5">
        <v>28.019600000000001</v>
      </c>
      <c r="AE16" s="5">
        <v>27.209</v>
      </c>
      <c r="AF16" s="5">
        <v>-1.0900000000000001</v>
      </c>
      <c r="AG16" s="5">
        <v>24.8</v>
      </c>
      <c r="AH16" s="1">
        <v>17</v>
      </c>
      <c r="AI16" s="5">
        <v>23.493099999999998</v>
      </c>
      <c r="AJ16" s="5">
        <v>26.172599999999999</v>
      </c>
      <c r="AK16" s="5">
        <v>25.478400000000001</v>
      </c>
      <c r="AL16" s="5">
        <v>-1</v>
      </c>
      <c r="AM16" s="5">
        <v>24.8</v>
      </c>
    </row>
    <row r="17" spans="1:39">
      <c r="A17">
        <v>7</v>
      </c>
      <c r="B17" s="27" t="s">
        <v>46</v>
      </c>
      <c r="C17" s="58">
        <v>1354</v>
      </c>
      <c r="D17" s="58">
        <v>95.5</v>
      </c>
      <c r="E17" s="58">
        <v>269.25</v>
      </c>
      <c r="F17" s="58">
        <f>E17-D17</f>
        <v>173.75</v>
      </c>
      <c r="G17" s="58">
        <v>136.06</v>
      </c>
      <c r="H17" s="58"/>
      <c r="I17" s="58"/>
      <c r="J17" s="64">
        <v>5</v>
      </c>
      <c r="K17" s="57">
        <v>193.86</v>
      </c>
      <c r="L17" s="9">
        <f>D17+K17</f>
        <v>289.36</v>
      </c>
      <c r="M17" s="58">
        <v>1.27</v>
      </c>
      <c r="N17" s="58">
        <v>8.26</v>
      </c>
      <c r="O17" s="58">
        <f>N17-M17</f>
        <v>6.99</v>
      </c>
      <c r="P17" s="58">
        <v>5.8887</v>
      </c>
      <c r="Q17" s="58">
        <f>P17-M17</f>
        <v>4.6187000000000005</v>
      </c>
      <c r="R17" s="58">
        <v>5.5</v>
      </c>
      <c r="S17" s="58">
        <v>5.4</v>
      </c>
      <c r="T17" s="58">
        <v>5.4</v>
      </c>
      <c r="U17" s="68">
        <f>AVERAGE(R17,S17,T17)</f>
        <v>5.4333333333333336</v>
      </c>
      <c r="V17" s="70">
        <v>24</v>
      </c>
      <c r="W17" s="69">
        <v>24.6279</v>
      </c>
      <c r="X17" s="69">
        <v>27.602399999999999</v>
      </c>
      <c r="Y17" s="69">
        <v>27.279599999999999</v>
      </c>
      <c r="Z17" s="69">
        <v>-5.64</v>
      </c>
      <c r="AA17" s="69">
        <v>24.9</v>
      </c>
      <c r="AB17" s="69">
        <v>26</v>
      </c>
      <c r="AC17" s="69">
        <v>28.595099999999999</v>
      </c>
      <c r="AD17" s="69">
        <v>24.9</v>
      </c>
      <c r="AE17" s="69">
        <v>27.974299999999999</v>
      </c>
      <c r="AF17" s="69">
        <v>-1.21</v>
      </c>
      <c r="AG17" s="69">
        <v>24.9</v>
      </c>
      <c r="AH17" s="70">
        <v>28</v>
      </c>
      <c r="AI17" s="69">
        <v>24.555800000000001</v>
      </c>
      <c r="AJ17" s="69">
        <v>28.302900000000001</v>
      </c>
      <c r="AK17" s="69">
        <v>27.685199999999998</v>
      </c>
      <c r="AL17" s="69">
        <v>-1.06</v>
      </c>
      <c r="AM17" s="69">
        <v>24.9</v>
      </c>
    </row>
    <row r="18" spans="1:39">
      <c r="A18">
        <v>10</v>
      </c>
      <c r="B18" s="27" t="s">
        <v>47</v>
      </c>
      <c r="C18" s="4">
        <v>1482</v>
      </c>
      <c r="D18" s="4">
        <v>93.2</v>
      </c>
      <c r="E18" s="4">
        <v>260.02999999999997</v>
      </c>
      <c r="F18" s="4">
        <f>E18-D18</f>
        <v>166.82999999999998</v>
      </c>
      <c r="G18" s="4">
        <v>118.57</v>
      </c>
      <c r="J18" s="14">
        <v>3</v>
      </c>
      <c r="K18" s="15">
        <v>194.82</v>
      </c>
      <c r="L18" s="9">
        <f>D18+K18</f>
        <v>288.02</v>
      </c>
      <c r="M18" s="26">
        <v>1.2996000000000001</v>
      </c>
      <c r="N18" s="26">
        <v>5.2153999999999998</v>
      </c>
      <c r="O18" s="4">
        <f>N18-M18</f>
        <v>3.9157999999999999</v>
      </c>
      <c r="P18" s="4">
        <v>3.8614999999999999</v>
      </c>
      <c r="Q18" s="4">
        <f>P18-M18</f>
        <v>2.5618999999999996</v>
      </c>
      <c r="R18" s="4">
        <v>5.4</v>
      </c>
      <c r="S18" s="4">
        <v>5.0999999999999996</v>
      </c>
      <c r="T18" s="4">
        <v>5.0999999999999996</v>
      </c>
      <c r="U18" s="16">
        <f>AVERAGE(R18,S18,T18)</f>
        <v>5.2</v>
      </c>
      <c r="V18" s="5">
        <v>1</v>
      </c>
      <c r="W18" s="5">
        <v>24.374199999999998</v>
      </c>
      <c r="X18" s="5">
        <v>28.241900000000001</v>
      </c>
      <c r="Y18" s="5">
        <v>27.8841</v>
      </c>
      <c r="Z18" s="5">
        <v>-8.44</v>
      </c>
      <c r="AA18" s="5">
        <v>25</v>
      </c>
      <c r="AB18" s="5">
        <v>2</v>
      </c>
      <c r="AC18" s="5">
        <v>24.425699999999999</v>
      </c>
      <c r="AD18" s="5">
        <v>28.930900000000001</v>
      </c>
      <c r="AE18" s="5">
        <v>28.4634</v>
      </c>
      <c r="AF18" s="5">
        <v>-4.4800000000000004</v>
      </c>
      <c r="AG18" s="5">
        <v>25</v>
      </c>
      <c r="AH18" s="5">
        <v>21</v>
      </c>
      <c r="AI18" s="5">
        <v>24.223099999999999</v>
      </c>
      <c r="AJ18" s="5">
        <v>29.296399999999998</v>
      </c>
      <c r="AK18" s="5">
        <v>28.691600000000001</v>
      </c>
      <c r="AL18" s="5">
        <v>-2.88</v>
      </c>
      <c r="AM18" s="5">
        <v>24.9</v>
      </c>
    </row>
    <row r="19" spans="1:39">
      <c r="A19">
        <v>34</v>
      </c>
      <c r="B19" s="61" t="s">
        <v>48</v>
      </c>
      <c r="C19" s="18">
        <v>1418</v>
      </c>
      <c r="D19" s="18">
        <v>94</v>
      </c>
      <c r="E19" s="18">
        <v>283.31</v>
      </c>
      <c r="F19" s="18">
        <f>E19-D19</f>
        <v>189.31</v>
      </c>
      <c r="G19" s="18">
        <v>144.9</v>
      </c>
      <c r="H19" s="18"/>
      <c r="I19" s="18"/>
      <c r="J19" s="18">
        <v>5</v>
      </c>
      <c r="K19" s="15">
        <v>193.86</v>
      </c>
      <c r="L19" s="9">
        <f>D19+K19</f>
        <v>287.86</v>
      </c>
      <c r="M19" s="18">
        <v>1.28</v>
      </c>
      <c r="N19" s="18">
        <v>4.33</v>
      </c>
      <c r="O19" s="18">
        <f>N19-M19</f>
        <v>3.05</v>
      </c>
      <c r="P19" s="18">
        <v>3.2517999999999998</v>
      </c>
      <c r="Q19" s="18">
        <f>P19-M19</f>
        <v>1.9717999999999998</v>
      </c>
      <c r="R19" s="18">
        <v>5.5</v>
      </c>
      <c r="S19" s="18">
        <v>5.3</v>
      </c>
      <c r="T19" s="18">
        <v>5.5</v>
      </c>
      <c r="U19" s="36">
        <f>AVERAGE(R19,S19,T19)</f>
        <v>5.4333333333333336</v>
      </c>
      <c r="V19" s="23">
        <v>17</v>
      </c>
      <c r="W19" s="23">
        <v>23.494800000000001</v>
      </c>
      <c r="X19" s="23">
        <v>27.4512</v>
      </c>
      <c r="Y19" s="23">
        <v>27.2759</v>
      </c>
      <c r="Z19" s="23">
        <v>-60.27</v>
      </c>
      <c r="AA19" s="23">
        <v>24.9</v>
      </c>
      <c r="AB19" s="23">
        <v>24</v>
      </c>
      <c r="AC19" s="23">
        <v>24.6296</v>
      </c>
      <c r="AD19" s="23">
        <v>29.8047</v>
      </c>
      <c r="AE19" s="23">
        <v>29.3675</v>
      </c>
      <c r="AF19" s="23">
        <v>-10.1</v>
      </c>
      <c r="AG19" s="23">
        <v>24.9</v>
      </c>
      <c r="AH19" s="23">
        <v>29</v>
      </c>
      <c r="AI19" s="23">
        <v>24.741099999999999</v>
      </c>
      <c r="AJ19" s="23">
        <v>29.6341</v>
      </c>
      <c r="AK19" s="23">
        <v>29.100999999999999</v>
      </c>
      <c r="AL19" s="23">
        <v>-3.69</v>
      </c>
      <c r="AM19" s="23">
        <v>24.9</v>
      </c>
    </row>
    <row r="20" spans="1:39">
      <c r="A20">
        <v>16</v>
      </c>
      <c r="B20" s="58" t="s">
        <v>49</v>
      </c>
      <c r="C20" s="4">
        <v>1483</v>
      </c>
      <c r="D20" s="4">
        <v>93.3</v>
      </c>
      <c r="E20" s="4">
        <v>228.1</v>
      </c>
      <c r="F20" s="4">
        <f>E20-D20</f>
        <v>134.80000000000001</v>
      </c>
      <c r="G20" s="4">
        <v>85.95</v>
      </c>
      <c r="H20" s="4" t="s">
        <v>50</v>
      </c>
      <c r="J20" s="4">
        <v>2</v>
      </c>
      <c r="K20" s="9">
        <v>196.3</v>
      </c>
      <c r="L20" s="9">
        <f>D20+K20</f>
        <v>289.60000000000002</v>
      </c>
      <c r="M20" s="4">
        <v>1.27</v>
      </c>
      <c r="N20" s="4">
        <v>5.0069999999999997</v>
      </c>
      <c r="O20" s="4">
        <f>N20-M20</f>
        <v>3.7369999999999997</v>
      </c>
      <c r="P20" s="4">
        <v>3.2429000000000001</v>
      </c>
      <c r="Q20" s="4">
        <f>P20-M20</f>
        <v>1.9729000000000001</v>
      </c>
      <c r="R20" s="4">
        <v>5.6</v>
      </c>
      <c r="S20" s="4">
        <v>5.5</v>
      </c>
      <c r="T20" s="4">
        <v>5.5</v>
      </c>
      <c r="U20" s="16">
        <f>AVERAGE(R20,S20,T20)</f>
        <v>5.5333333333333341</v>
      </c>
      <c r="V20" s="5">
        <v>17</v>
      </c>
      <c r="W20" s="5">
        <v>23.492899999999999</v>
      </c>
      <c r="X20" s="5">
        <v>25.4605</v>
      </c>
      <c r="Y20" s="5">
        <v>25.098099999999999</v>
      </c>
      <c r="Z20" s="5">
        <v>-1.1399999999999999</v>
      </c>
      <c r="AA20" s="5">
        <v>24.9</v>
      </c>
      <c r="AB20" s="5">
        <v>20</v>
      </c>
      <c r="AC20" s="5">
        <v>22.685099999999998</v>
      </c>
      <c r="AD20" s="5">
        <v>25.908200000000001</v>
      </c>
      <c r="AE20" s="5">
        <v>25.343499999999999</v>
      </c>
      <c r="AF20" s="5">
        <v>-1.28</v>
      </c>
      <c r="AG20" s="5">
        <v>24.9</v>
      </c>
      <c r="AH20" s="5">
        <v>22</v>
      </c>
      <c r="AI20" s="5">
        <v>24.573799999999999</v>
      </c>
      <c r="AJ20" s="5">
        <v>26.380700000000001</v>
      </c>
      <c r="AK20" s="5">
        <v>26.300699999999999</v>
      </c>
      <c r="AL20" s="5">
        <v>-57.31</v>
      </c>
      <c r="AM20" s="5">
        <v>24.9</v>
      </c>
    </row>
    <row r="21" spans="1:39">
      <c r="A21">
        <v>32</v>
      </c>
      <c r="B21" s="37" t="s">
        <v>51</v>
      </c>
      <c r="C21" s="4">
        <v>1323</v>
      </c>
      <c r="D21" s="4">
        <v>96</v>
      </c>
      <c r="E21" s="4">
        <v>185.67</v>
      </c>
      <c r="F21" s="4">
        <f>E21-D21</f>
        <v>89.669999999999987</v>
      </c>
      <c r="G21" s="4">
        <v>80.17</v>
      </c>
      <c r="J21" s="4">
        <v>4</v>
      </c>
      <c r="K21" s="15">
        <v>195.66</v>
      </c>
      <c r="L21" s="9">
        <f>D21+K21</f>
        <v>291.65999999999997</v>
      </c>
      <c r="M21" s="4">
        <v>1.29</v>
      </c>
      <c r="N21" s="4">
        <v>2.73</v>
      </c>
      <c r="O21" s="4">
        <f>N21-M21</f>
        <v>1.44</v>
      </c>
      <c r="P21" s="4">
        <v>2.0857999999999999</v>
      </c>
      <c r="Q21" s="4">
        <f>P21-M21</f>
        <v>0.79579999999999984</v>
      </c>
      <c r="R21" s="4">
        <v>5.4</v>
      </c>
      <c r="S21" s="4">
        <v>5.0999999999999996</v>
      </c>
      <c r="T21" s="4">
        <v>5.0999999999999996</v>
      </c>
      <c r="U21" s="35">
        <f>AVERAGE(R21,S21,T21)</f>
        <v>5.2</v>
      </c>
      <c r="V21" s="15">
        <v>7</v>
      </c>
      <c r="W21" s="15">
        <v>24.707100000000001</v>
      </c>
      <c r="X21" s="15">
        <v>26.991</v>
      </c>
      <c r="Y21" s="15">
        <v>26.873100000000001</v>
      </c>
      <c r="Z21" s="15">
        <v>-86.03</v>
      </c>
      <c r="AA21" s="15">
        <v>24.9</v>
      </c>
      <c r="AB21" s="15">
        <v>8</v>
      </c>
      <c r="AC21" s="15">
        <v>24.726199999999999</v>
      </c>
      <c r="AD21" s="15">
        <v>28.328299999999999</v>
      </c>
      <c r="AE21" s="15">
        <v>28.022300000000001</v>
      </c>
      <c r="AF21" s="15">
        <v>-12.5</v>
      </c>
      <c r="AG21" s="15">
        <v>24.9</v>
      </c>
      <c r="AH21" s="15">
        <v>13</v>
      </c>
      <c r="AI21" s="15">
        <v>23.497499999999999</v>
      </c>
      <c r="AJ21" s="15">
        <v>27.1952</v>
      </c>
      <c r="AK21" s="15">
        <v>26.736799999999999</v>
      </c>
      <c r="AL21" s="15">
        <v>-2.89</v>
      </c>
      <c r="AM21" s="15">
        <v>24.9</v>
      </c>
    </row>
    <row r="22" spans="1:39">
      <c r="A22">
        <v>28</v>
      </c>
      <c r="B22" s="4" t="s">
        <v>52</v>
      </c>
      <c r="C22" s="4">
        <v>1291</v>
      </c>
      <c r="D22" s="4">
        <v>93.3</v>
      </c>
      <c r="E22" s="4">
        <v>234.48</v>
      </c>
      <c r="F22" s="4">
        <f>E22-D22</f>
        <v>141.18</v>
      </c>
      <c r="G22" s="4">
        <v>82.65</v>
      </c>
      <c r="J22" s="4">
        <v>2</v>
      </c>
      <c r="K22" s="15">
        <v>196.3</v>
      </c>
      <c r="L22" s="9">
        <f>D22+K22</f>
        <v>289.60000000000002</v>
      </c>
      <c r="M22" s="4">
        <v>1.28</v>
      </c>
      <c r="N22" s="4">
        <v>4.58</v>
      </c>
      <c r="O22" s="4">
        <f>N22-M22</f>
        <v>3.3</v>
      </c>
      <c r="P22" s="4">
        <v>3.2031000000000001</v>
      </c>
      <c r="Q22" s="4">
        <f>P22-M22</f>
        <v>1.9231</v>
      </c>
      <c r="R22" s="4">
        <v>5.0999999999999996</v>
      </c>
      <c r="S22" s="4">
        <v>5.4</v>
      </c>
      <c r="T22" s="4">
        <v>5.3</v>
      </c>
      <c r="U22" s="35">
        <f>AVERAGE(R22,S22,T22)</f>
        <v>5.2666666666666666</v>
      </c>
      <c r="V22" s="5">
        <v>13</v>
      </c>
      <c r="W22" s="5">
        <v>23.497299999999999</v>
      </c>
      <c r="X22" s="5">
        <v>28.011600000000001</v>
      </c>
      <c r="Y22" s="5">
        <v>27.755800000000001</v>
      </c>
      <c r="Z22" s="5">
        <v>-160.62</v>
      </c>
      <c r="AA22" s="5">
        <v>24.9</v>
      </c>
      <c r="AB22" s="5">
        <v>14</v>
      </c>
      <c r="AC22" s="5">
        <v>23.536100000000001</v>
      </c>
      <c r="AD22" s="5">
        <v>27.104299999999999</v>
      </c>
      <c r="AE22" s="5">
        <v>26.738700000000001</v>
      </c>
      <c r="AF22" s="5">
        <v>-6.12</v>
      </c>
      <c r="AG22" s="5">
        <v>24.9</v>
      </c>
      <c r="AH22" s="5">
        <v>17</v>
      </c>
      <c r="AI22" s="5">
        <v>23.495100000000001</v>
      </c>
      <c r="AJ22" s="5">
        <v>25.958600000000001</v>
      </c>
      <c r="AK22" s="5">
        <v>26.576799999999999</v>
      </c>
      <c r="AL22" s="5">
        <v>-3.98</v>
      </c>
      <c r="AM22" s="5">
        <v>24.9</v>
      </c>
    </row>
    <row r="23" spans="1:39">
      <c r="A23">
        <v>17</v>
      </c>
      <c r="B23" s="58" t="s">
        <v>53</v>
      </c>
      <c r="C23" s="32">
        <v>6.0700000000000001E-4</v>
      </c>
      <c r="D23" s="4">
        <v>96.96</v>
      </c>
      <c r="E23" s="4">
        <v>263.43</v>
      </c>
      <c r="F23" s="4">
        <f>E23-D23</f>
        <v>166.47000000000003</v>
      </c>
      <c r="G23" s="4">
        <v>117.03</v>
      </c>
      <c r="J23" s="4">
        <v>5</v>
      </c>
      <c r="K23" s="15">
        <v>193.86</v>
      </c>
      <c r="L23" s="9">
        <f>D23+K23</f>
        <v>290.82</v>
      </c>
      <c r="M23" s="4">
        <v>1.3</v>
      </c>
      <c r="N23" s="4">
        <v>1.74</v>
      </c>
      <c r="O23" s="4">
        <f>N23-M23</f>
        <v>0.43999999999999995</v>
      </c>
      <c r="P23" s="4">
        <v>1.5536000000000001</v>
      </c>
      <c r="Q23" s="4">
        <f>P23-M23</f>
        <v>0.25360000000000005</v>
      </c>
      <c r="R23" s="4">
        <v>5.0999999999999996</v>
      </c>
      <c r="S23" s="4">
        <v>5.15</v>
      </c>
      <c r="T23" s="4">
        <v>5.2</v>
      </c>
      <c r="U23" s="4">
        <f>AVERAGE(R23,S23,T23)</f>
        <v>5.1499999999999995</v>
      </c>
      <c r="V23" s="5">
        <v>23</v>
      </c>
      <c r="W23" s="5">
        <v>25.016999999999999</v>
      </c>
      <c r="X23" s="5">
        <v>27.699200000000001</v>
      </c>
      <c r="Y23" s="5">
        <v>27.5063</v>
      </c>
      <c r="Z23" s="5">
        <v>-9.3699999999999992</v>
      </c>
      <c r="AA23" s="5">
        <v>24.9</v>
      </c>
      <c r="AB23" s="5">
        <v>24</v>
      </c>
      <c r="AC23" s="5">
        <v>24.6281</v>
      </c>
      <c r="AD23" s="5">
        <v>28.543700000000001</v>
      </c>
      <c r="AE23" s="5">
        <v>28.262799999999999</v>
      </c>
      <c r="AF23" s="5">
        <v>-9.59</v>
      </c>
      <c r="AG23" s="5">
        <v>24.9</v>
      </c>
      <c r="AH23" s="5">
        <v>25</v>
      </c>
      <c r="AI23" s="5">
        <v>25.024100000000001</v>
      </c>
      <c r="AJ23" s="5">
        <v>28.383500000000002</v>
      </c>
      <c r="AK23" s="5">
        <v>28.260400000000001</v>
      </c>
      <c r="AL23" s="5">
        <v>-46.53</v>
      </c>
      <c r="AM23" s="5">
        <v>24.9</v>
      </c>
    </row>
    <row r="24" spans="1:39">
      <c r="A24">
        <v>19</v>
      </c>
      <c r="B24" s="4" t="s">
        <v>54</v>
      </c>
      <c r="C24" s="4">
        <v>1494</v>
      </c>
      <c r="D24" s="4">
        <v>94.2</v>
      </c>
      <c r="E24" s="4">
        <v>265.92</v>
      </c>
      <c r="F24" s="4">
        <f>E24-D24</f>
        <v>171.72000000000003</v>
      </c>
      <c r="G24" s="4">
        <v>115.39</v>
      </c>
      <c r="J24" s="4">
        <v>1</v>
      </c>
      <c r="K24" s="57">
        <v>197.78</v>
      </c>
      <c r="L24" s="9">
        <f>D24+K24</f>
        <v>291.98</v>
      </c>
      <c r="M24" s="4">
        <v>1.3</v>
      </c>
      <c r="N24" s="4">
        <v>1.95</v>
      </c>
      <c r="O24" s="4">
        <f>N24-M24</f>
        <v>0.64999999999999991</v>
      </c>
      <c r="P24" s="4">
        <v>1.7383</v>
      </c>
      <c r="Q24" s="4">
        <f>P24-M24</f>
        <v>0.43829999999999991</v>
      </c>
      <c r="R24" s="4">
        <v>5.2</v>
      </c>
      <c r="S24" s="4">
        <v>5.2</v>
      </c>
      <c r="T24" s="4">
        <v>5.2</v>
      </c>
      <c r="U24" s="4">
        <f>AVERAGE(R24,S24,T24)</f>
        <v>5.2</v>
      </c>
      <c r="V24" s="5">
        <v>17</v>
      </c>
      <c r="W24" s="5">
        <v>23.493300000000001</v>
      </c>
      <c r="X24" s="5">
        <v>25.2486</v>
      </c>
      <c r="Y24" s="5">
        <v>25.692</v>
      </c>
      <c r="Z24" s="5">
        <v>-3.65</v>
      </c>
      <c r="AA24" s="5">
        <v>24.9</v>
      </c>
      <c r="AB24" s="5">
        <v>25</v>
      </c>
      <c r="AC24" s="5">
        <v>25.023900000000001</v>
      </c>
      <c r="AD24" s="5">
        <v>27.479299999999999</v>
      </c>
      <c r="AE24" s="5">
        <v>27.297000000000001</v>
      </c>
      <c r="AF24" s="5">
        <v>-4.68</v>
      </c>
      <c r="AG24" s="5">
        <v>24.9</v>
      </c>
      <c r="AH24" s="5">
        <v>10</v>
      </c>
      <c r="AI24" s="5">
        <v>24.604500000000002</v>
      </c>
      <c r="AJ24" s="5">
        <v>27.373000000000001</v>
      </c>
      <c r="AK24" s="5">
        <v>27.2836</v>
      </c>
      <c r="AL24" s="5">
        <v>-60.02</v>
      </c>
      <c r="AM24" s="5">
        <v>24.9</v>
      </c>
    </row>
    <row r="25" spans="1:39">
      <c r="A25">
        <v>1</v>
      </c>
      <c r="B25" s="59" t="s">
        <v>55</v>
      </c>
      <c r="C25" s="18">
        <v>1305</v>
      </c>
      <c r="D25" s="18">
        <v>93.3</v>
      </c>
      <c r="E25" s="18">
        <v>255.13</v>
      </c>
      <c r="F25" s="18">
        <f>E25-D25</f>
        <v>161.82999999999998</v>
      </c>
      <c r="G25" s="18">
        <v>114.76</v>
      </c>
      <c r="H25" s="18"/>
      <c r="I25" s="18"/>
      <c r="J25" s="23">
        <v>1</v>
      </c>
      <c r="K25" s="23">
        <v>197.78</v>
      </c>
      <c r="L25" s="9">
        <f>D25+K25</f>
        <v>291.08</v>
      </c>
      <c r="M25" s="18">
        <v>2.1</v>
      </c>
      <c r="N25" s="18">
        <v>0</v>
      </c>
      <c r="O25" s="18">
        <f>N25-M25</f>
        <v>-2.1</v>
      </c>
      <c r="P25" s="18">
        <v>0</v>
      </c>
      <c r="Q25" s="18">
        <f>P25-M25</f>
        <v>-2.1</v>
      </c>
      <c r="R25" s="18">
        <v>5.0999999999999996</v>
      </c>
      <c r="S25" s="18">
        <v>5.0999999999999996</v>
      </c>
      <c r="T25" s="18">
        <v>5.0999999999999996</v>
      </c>
      <c r="U25" s="24">
        <f>AVERAGE(R25,S25,T25)</f>
        <v>5.0999999999999996</v>
      </c>
      <c r="V25" s="25">
        <v>14</v>
      </c>
      <c r="W25" s="19">
        <v>23.537099999999999</v>
      </c>
      <c r="X25" s="19">
        <v>26.587199999999999</v>
      </c>
      <c r="Y25" s="19">
        <v>26.450600000000001</v>
      </c>
      <c r="Z25" s="19">
        <v>-43.38</v>
      </c>
      <c r="AA25" s="19">
        <v>24.9</v>
      </c>
      <c r="AB25" s="25">
        <v>16</v>
      </c>
      <c r="AC25" s="19">
        <v>24.537099999999999</v>
      </c>
      <c r="AD25" s="19">
        <v>28.658799999999999</v>
      </c>
      <c r="AE25" s="19">
        <v>28.275600000000001</v>
      </c>
      <c r="AF25" s="19">
        <v>-2.93</v>
      </c>
      <c r="AG25" s="19">
        <v>24.9</v>
      </c>
      <c r="AH25" s="25">
        <v>17</v>
      </c>
      <c r="AI25" s="19">
        <v>23.492599999999999</v>
      </c>
      <c r="AJ25" s="19">
        <v>26.7485</v>
      </c>
      <c r="AK25" s="19">
        <v>26.457599999999999</v>
      </c>
      <c r="AL25" s="19">
        <v>-4.7</v>
      </c>
      <c r="AM25" s="19">
        <v>24.9</v>
      </c>
    </row>
    <row r="26" spans="1:39">
      <c r="A26">
        <v>36</v>
      </c>
      <c r="B26" s="4" t="s">
        <v>56</v>
      </c>
      <c r="C26" s="4">
        <v>6651</v>
      </c>
      <c r="D26" s="4">
        <v>195</v>
      </c>
      <c r="E26" s="4">
        <v>534.94000000000005</v>
      </c>
      <c r="F26" s="4">
        <f>E26-D26</f>
        <v>339.94000000000005</v>
      </c>
      <c r="G26" s="4">
        <v>205.88</v>
      </c>
      <c r="J26" s="4">
        <v>8</v>
      </c>
      <c r="L26" s="9">
        <f>D26+K26</f>
        <v>195</v>
      </c>
      <c r="M26" s="4">
        <v>1.64</v>
      </c>
      <c r="N26" s="4">
        <v>3.54</v>
      </c>
      <c r="O26" s="4">
        <f>N26-M26</f>
        <v>1.9000000000000001</v>
      </c>
      <c r="P26" s="4">
        <v>2.4731000000000001</v>
      </c>
      <c r="Q26" s="4">
        <f>P26-M26</f>
        <v>0.83310000000000017</v>
      </c>
      <c r="R26" s="4">
        <v>5.4</v>
      </c>
      <c r="S26" s="4">
        <v>5.3</v>
      </c>
      <c r="T26" s="4">
        <v>5.3</v>
      </c>
      <c r="U26" s="35">
        <f>AVERAGE(R26,S26,T26)</f>
        <v>5.333333333333333</v>
      </c>
      <c r="V26" s="15">
        <v>15</v>
      </c>
      <c r="W26" s="15">
        <v>23.408200000000001</v>
      </c>
      <c r="X26" s="15">
        <v>24.542200000000001</v>
      </c>
      <c r="Y26" s="15">
        <v>24.400600000000001</v>
      </c>
      <c r="Z26" s="15">
        <v>-93.97</v>
      </c>
      <c r="AA26" s="15">
        <v>24.8</v>
      </c>
      <c r="AB26" s="15">
        <v>16</v>
      </c>
      <c r="AC26" s="15">
        <v>24.8749</v>
      </c>
      <c r="AD26" s="15">
        <v>27.911200000000001</v>
      </c>
      <c r="AE26" s="15">
        <v>27.496300000000002</v>
      </c>
      <c r="AF26" s="15">
        <v>-13.29</v>
      </c>
      <c r="AG26" s="15">
        <v>24.8</v>
      </c>
      <c r="AH26" s="15">
        <v>17</v>
      </c>
      <c r="AI26" s="15">
        <v>23.496200000000002</v>
      </c>
      <c r="AJ26" s="15">
        <v>26.806699999999999</v>
      </c>
      <c r="AK26" s="15">
        <v>26.4023</v>
      </c>
      <c r="AL26" s="15">
        <v>-11.36</v>
      </c>
      <c r="AM26" s="15">
        <v>25</v>
      </c>
    </row>
    <row r="27" spans="1:39">
      <c r="A27">
        <v>33</v>
      </c>
      <c r="B27" s="37" t="s">
        <v>57</v>
      </c>
      <c r="C27" s="4">
        <v>1495</v>
      </c>
      <c r="D27" s="4">
        <v>95.1</v>
      </c>
      <c r="E27" s="4">
        <v>245.49</v>
      </c>
      <c r="F27" s="4">
        <f>E27-D27</f>
        <v>150.39000000000001</v>
      </c>
      <c r="G27" s="4">
        <v>88.65</v>
      </c>
      <c r="J27" s="4">
        <v>3</v>
      </c>
      <c r="K27" s="4">
        <v>194.82</v>
      </c>
      <c r="L27" s="9">
        <f>D27+K27</f>
        <v>289.91999999999996</v>
      </c>
      <c r="M27" s="4">
        <v>1.27</v>
      </c>
      <c r="N27" s="4">
        <v>4.13</v>
      </c>
      <c r="O27" s="4">
        <f>N27-M27</f>
        <v>2.86</v>
      </c>
      <c r="P27" s="5">
        <v>2.6692999999999998</v>
      </c>
      <c r="Q27" s="4">
        <f>P27-M27</f>
        <v>1.3992999999999998</v>
      </c>
      <c r="R27" s="4">
        <v>5.4</v>
      </c>
      <c r="S27" s="4">
        <v>5.5</v>
      </c>
      <c r="T27" s="4">
        <v>5.6</v>
      </c>
      <c r="U27" s="35">
        <f>AVERAGE(R27,S27,T27)</f>
        <v>5.5</v>
      </c>
      <c r="V27" s="15">
        <v>7</v>
      </c>
      <c r="W27" s="15">
        <v>24.708200000000001</v>
      </c>
      <c r="X27" s="15">
        <v>27.014299999999999</v>
      </c>
      <c r="Y27" s="15">
        <v>26.753699999999998</v>
      </c>
      <c r="Z27" s="15">
        <v>-33.049999999999997</v>
      </c>
      <c r="AA27" s="15">
        <v>24.9</v>
      </c>
      <c r="AB27" s="15">
        <v>8</v>
      </c>
      <c r="AC27" s="15">
        <v>24.727499999999999</v>
      </c>
      <c r="AD27" s="15">
        <v>28.518999999999998</v>
      </c>
      <c r="AE27" s="15">
        <v>27.784199999999998</v>
      </c>
      <c r="AF27" s="15">
        <v>-3.4</v>
      </c>
      <c r="AG27" s="15">
        <v>24.9</v>
      </c>
      <c r="AH27" s="15">
        <v>9</v>
      </c>
      <c r="AI27" s="15">
        <v>24.538499999999999</v>
      </c>
      <c r="AJ27" s="15">
        <v>28.538599999999999</v>
      </c>
      <c r="AK27" s="15">
        <v>27.823</v>
      </c>
      <c r="AL27" s="15">
        <v>-4.46</v>
      </c>
      <c r="AM27" s="15">
        <v>24.9</v>
      </c>
    </row>
    <row r="28" spans="1:39">
      <c r="A28">
        <v>15</v>
      </c>
      <c r="B28" s="58" t="s">
        <v>58</v>
      </c>
      <c r="C28" s="4">
        <v>1316</v>
      </c>
      <c r="D28" s="4">
        <v>95.5</v>
      </c>
      <c r="E28" s="4">
        <v>235.81</v>
      </c>
      <c r="F28" s="4">
        <f>E28-D28</f>
        <v>140.31</v>
      </c>
      <c r="G28" s="4">
        <v>85.9</v>
      </c>
      <c r="J28" s="4">
        <v>4</v>
      </c>
      <c r="K28" s="15">
        <v>195.66</v>
      </c>
      <c r="L28" s="9">
        <f>D28+K28</f>
        <v>291.15999999999997</v>
      </c>
      <c r="M28" s="4">
        <v>1.27</v>
      </c>
      <c r="N28" s="4">
        <v>3.03</v>
      </c>
      <c r="O28" s="4">
        <f>N28-M28</f>
        <v>1.7599999999999998</v>
      </c>
      <c r="P28" s="4">
        <v>2.2719999999999998</v>
      </c>
      <c r="Q28" s="4">
        <f>P28-M28</f>
        <v>1.0019999999999998</v>
      </c>
      <c r="R28" s="4">
        <v>5.35</v>
      </c>
      <c r="S28" s="4">
        <v>5.4</v>
      </c>
      <c r="T28" s="4">
        <v>5.4</v>
      </c>
      <c r="U28" s="16">
        <f>AVERAGE(R28,S28,T28)</f>
        <v>5.3833333333333329</v>
      </c>
      <c r="V28" s="5">
        <v>26</v>
      </c>
      <c r="W28" s="5">
        <v>24.714300000000001</v>
      </c>
      <c r="X28" s="5">
        <v>27.802900000000001</v>
      </c>
      <c r="Y28" s="5">
        <v>27.192799999999998</v>
      </c>
      <c r="Z28" s="5">
        <v>-4.3</v>
      </c>
      <c r="AA28" s="5">
        <v>24.9</v>
      </c>
      <c r="AB28" s="5">
        <v>28</v>
      </c>
      <c r="AC28" s="5">
        <v>24.5563</v>
      </c>
      <c r="AD28" s="5">
        <v>26.724900000000002</v>
      </c>
      <c r="AE28" s="5">
        <v>26.346</v>
      </c>
      <c r="AF28" s="5">
        <v>-6.48</v>
      </c>
      <c r="AG28" s="5">
        <v>24.9</v>
      </c>
      <c r="AH28" s="5">
        <v>30</v>
      </c>
      <c r="AI28" s="5">
        <v>24.759899999999998</v>
      </c>
      <c r="AJ28" s="5">
        <v>26.421900000000001</v>
      </c>
      <c r="AK28" s="5">
        <v>26.2925</v>
      </c>
      <c r="AL28" s="5">
        <v>-68.38</v>
      </c>
      <c r="AM28" s="5">
        <v>24.9</v>
      </c>
    </row>
    <row r="29" spans="1:39">
      <c r="A29">
        <v>11</v>
      </c>
      <c r="B29" s="60" t="s">
        <v>59</v>
      </c>
      <c r="C29" s="4">
        <v>1188</v>
      </c>
      <c r="D29" s="4">
        <v>94.3</v>
      </c>
      <c r="E29" s="4">
        <v>259.85000000000002</v>
      </c>
      <c r="F29" s="4">
        <f>E29-D29</f>
        <v>165.55</v>
      </c>
      <c r="G29" s="4">
        <v>117.26</v>
      </c>
      <c r="J29" s="14">
        <v>1</v>
      </c>
      <c r="K29" s="15">
        <v>197.78</v>
      </c>
      <c r="L29" s="9">
        <f>D29+K29</f>
        <v>292.08</v>
      </c>
      <c r="M29" s="4">
        <v>2.12</v>
      </c>
      <c r="N29" s="4">
        <v>11.31</v>
      </c>
      <c r="O29" s="4">
        <f>N29-M29</f>
        <v>9.1900000000000013</v>
      </c>
      <c r="P29" s="4">
        <v>8.0654000000000003</v>
      </c>
      <c r="Q29" s="4">
        <f>P29-M29</f>
        <v>5.9454000000000002</v>
      </c>
      <c r="R29" s="4">
        <v>5.5</v>
      </c>
      <c r="S29" s="4">
        <v>5.45</v>
      </c>
      <c r="T29" s="4">
        <v>5.4</v>
      </c>
      <c r="U29" s="16">
        <f>AVERAGE(R29,S29,T29)</f>
        <v>5.45</v>
      </c>
      <c r="V29" s="5">
        <v>10</v>
      </c>
      <c r="W29" s="5">
        <v>24.602599999999999</v>
      </c>
      <c r="X29" s="5">
        <v>27.9404</v>
      </c>
      <c r="Y29" s="5">
        <v>27.040299999999998</v>
      </c>
      <c r="Z29" s="5">
        <v>-20.58</v>
      </c>
      <c r="AA29" s="5">
        <v>24.8</v>
      </c>
      <c r="AB29" s="5">
        <v>11</v>
      </c>
      <c r="AC29" s="5">
        <v>24.6876</v>
      </c>
      <c r="AD29" s="5">
        <v>27.6632</v>
      </c>
      <c r="AE29" s="5">
        <v>27.3901</v>
      </c>
      <c r="AF29" s="5">
        <v>-2.64</v>
      </c>
      <c r="AG29" s="5">
        <v>24.9</v>
      </c>
      <c r="AH29" s="5">
        <v>12</v>
      </c>
      <c r="AI29" s="5">
        <v>24.567</v>
      </c>
      <c r="AJ29" s="5">
        <v>27.6632</v>
      </c>
      <c r="AK29" s="5">
        <v>27.134899999999998</v>
      </c>
      <c r="AL29" s="5">
        <v>-2.64</v>
      </c>
      <c r="AM29" s="5">
        <v>24.9</v>
      </c>
    </row>
    <row r="30" spans="1:39">
      <c r="A30">
        <v>14</v>
      </c>
      <c r="B30" s="63" t="s">
        <v>60</v>
      </c>
      <c r="C30" s="4">
        <v>1347</v>
      </c>
      <c r="D30" s="4">
        <v>95.3</v>
      </c>
      <c r="E30" s="4">
        <v>272.98</v>
      </c>
      <c r="F30" s="4">
        <f>E30-D30</f>
        <v>177.68</v>
      </c>
      <c r="G30" s="4">
        <v>125.23</v>
      </c>
      <c r="J30" s="4">
        <v>1</v>
      </c>
      <c r="K30" s="15">
        <v>197.78</v>
      </c>
      <c r="L30" s="9">
        <f>D30+K30</f>
        <v>293.08</v>
      </c>
      <c r="M30" s="4">
        <v>1.27</v>
      </c>
      <c r="N30" s="4">
        <v>7.13</v>
      </c>
      <c r="O30" s="4">
        <f>N30-M30</f>
        <v>5.8599999999999994</v>
      </c>
      <c r="P30" s="4">
        <v>4.8827999999999996</v>
      </c>
      <c r="Q30" s="4">
        <f>P30-M30</f>
        <v>3.6127999999999996</v>
      </c>
      <c r="R30" s="4">
        <v>5.6</v>
      </c>
      <c r="S30" s="4">
        <v>5.4</v>
      </c>
      <c r="T30" s="4">
        <v>5.4</v>
      </c>
      <c r="U30" s="16">
        <f>AVERAGE(R30,S30,T30)</f>
        <v>5.4666666666666659</v>
      </c>
      <c r="V30" s="5">
        <v>7</v>
      </c>
      <c r="W30" s="5">
        <v>24.707000000000001</v>
      </c>
      <c r="X30" s="5">
        <v>28.0548</v>
      </c>
      <c r="Y30" s="5">
        <v>27.756799999999998</v>
      </c>
      <c r="Z30" s="5">
        <v>-18.760000000000002</v>
      </c>
      <c r="AA30" s="5">
        <v>24.9</v>
      </c>
      <c r="AB30" s="5">
        <v>8</v>
      </c>
      <c r="AC30" s="5">
        <v>24.725100000000001</v>
      </c>
      <c r="AD30" s="5">
        <v>28.476199999999999</v>
      </c>
      <c r="AE30" s="5">
        <v>27.9481</v>
      </c>
      <c r="AF30" s="5">
        <v>-5.6</v>
      </c>
      <c r="AG30" s="5">
        <v>24.9</v>
      </c>
      <c r="AH30" s="5">
        <v>9</v>
      </c>
      <c r="AI30" s="5">
        <v>24.537600000000001</v>
      </c>
      <c r="AJ30" s="5">
        <v>28.536899999999999</v>
      </c>
      <c r="AK30" s="5">
        <v>27.757300000000001</v>
      </c>
      <c r="AL30" s="5">
        <v>-5.0999999999999996</v>
      </c>
      <c r="AM30" s="5">
        <v>24.9</v>
      </c>
    </row>
    <row r="31" spans="1:39">
      <c r="A31">
        <v>30</v>
      </c>
      <c r="B31" s="18" t="s">
        <v>61</v>
      </c>
      <c r="C31" s="18">
        <v>626</v>
      </c>
      <c r="D31" s="18">
        <v>98.44</v>
      </c>
      <c r="E31" s="18">
        <v>243.98</v>
      </c>
      <c r="F31" s="18">
        <f>E31-D31</f>
        <v>145.54</v>
      </c>
      <c r="G31" s="18">
        <v>82.05</v>
      </c>
      <c r="H31" s="18"/>
      <c r="I31" s="18"/>
      <c r="J31" s="18">
        <v>6</v>
      </c>
      <c r="K31" s="23">
        <v>198.45</v>
      </c>
      <c r="L31" s="9">
        <f>D31+K31</f>
        <v>296.89</v>
      </c>
      <c r="M31" s="18">
        <v>0</v>
      </c>
      <c r="N31" s="18">
        <v>0</v>
      </c>
      <c r="O31" s="18">
        <f>N31-M31</f>
        <v>0</v>
      </c>
      <c r="P31" s="18">
        <v>0</v>
      </c>
      <c r="Q31" s="18">
        <f>P31-M31</f>
        <v>0</v>
      </c>
      <c r="R31" s="18">
        <v>5.0999999999999996</v>
      </c>
      <c r="S31" s="18">
        <v>5.0999999999999996</v>
      </c>
      <c r="T31" s="18">
        <v>5.0999999999999996</v>
      </c>
      <c r="U31" s="36">
        <f>AVERAGE(R31,S31,T31)</f>
        <v>5.0999999999999996</v>
      </c>
      <c r="V31" s="19">
        <v>1</v>
      </c>
      <c r="W31" s="19">
        <v>24.3748</v>
      </c>
      <c r="X31" s="19">
        <v>29.296900000000001</v>
      </c>
      <c r="Y31" s="19">
        <v>28.6599</v>
      </c>
      <c r="Z31" s="19">
        <v>-12.18</v>
      </c>
      <c r="AA31" s="19">
        <v>24.9</v>
      </c>
      <c r="AB31" s="19">
        <v>24</v>
      </c>
      <c r="AC31" s="19">
        <v>24.6279</v>
      </c>
      <c r="AD31" s="19">
        <v>30.890799999999999</v>
      </c>
      <c r="AE31" s="19">
        <v>29.750499999999999</v>
      </c>
      <c r="AF31" s="19">
        <v>-2.74</v>
      </c>
      <c r="AG31" s="19">
        <v>24.9</v>
      </c>
      <c r="AH31" s="19">
        <v>29</v>
      </c>
      <c r="AI31" s="19">
        <v>24.739899999999999</v>
      </c>
      <c r="AJ31" s="19">
        <v>29.986499999999999</v>
      </c>
      <c r="AK31" s="19">
        <v>28.9284</v>
      </c>
      <c r="AL31" s="19">
        <v>-0.78</v>
      </c>
      <c r="AM31" s="19">
        <v>24.9</v>
      </c>
    </row>
    <row r="32" spans="1:39">
      <c r="A32">
        <v>35</v>
      </c>
      <c r="B32" s="37" t="s">
        <v>62</v>
      </c>
      <c r="C32" s="4">
        <v>12019</v>
      </c>
      <c r="D32" s="4">
        <v>205.1</v>
      </c>
      <c r="E32" s="4">
        <v>586.41999999999996</v>
      </c>
      <c r="F32" s="4">
        <f>E32-D32</f>
        <v>381.31999999999994</v>
      </c>
      <c r="G32" s="4">
        <v>255.23</v>
      </c>
      <c r="J32" s="4">
        <v>7</v>
      </c>
      <c r="L32" s="9">
        <f>D32</f>
        <v>205.1</v>
      </c>
      <c r="M32" s="4">
        <v>1.7</v>
      </c>
      <c r="N32" s="4">
        <v>13.24</v>
      </c>
      <c r="O32" s="4">
        <f>N32-M32</f>
        <v>11.540000000000001</v>
      </c>
      <c r="P32" s="4">
        <v>7.4772999999999996</v>
      </c>
      <c r="Q32" s="4">
        <f>P32-M32</f>
        <v>5.7772999999999994</v>
      </c>
      <c r="R32" s="4">
        <v>5.5</v>
      </c>
      <c r="S32" s="4">
        <v>5.6</v>
      </c>
      <c r="T32" s="4">
        <v>5.6</v>
      </c>
      <c r="U32" s="35">
        <f>AVERAGE(R32,S32,T32)</f>
        <v>5.5666666666666664</v>
      </c>
      <c r="V32" s="15">
        <v>12</v>
      </c>
      <c r="W32" s="15">
        <v>24.567299999999999</v>
      </c>
      <c r="X32" s="15">
        <v>27.728100000000001</v>
      </c>
      <c r="Y32" s="15">
        <v>27.501100000000001</v>
      </c>
      <c r="Z32" s="15">
        <v>-55.04</v>
      </c>
      <c r="AA32" s="15">
        <v>24.9</v>
      </c>
      <c r="AB32" s="15">
        <v>13</v>
      </c>
      <c r="AC32" s="15">
        <v>23.498000000000001</v>
      </c>
      <c r="AD32" s="15">
        <v>27.8018</v>
      </c>
      <c r="AE32" s="15">
        <v>27.161899999999999</v>
      </c>
      <c r="AF32" s="15">
        <v>-4.95</v>
      </c>
      <c r="AG32" s="15">
        <v>24.9</v>
      </c>
      <c r="AH32" s="15">
        <v>14</v>
      </c>
      <c r="AI32" s="15">
        <v>23.537700000000001</v>
      </c>
      <c r="AJ32" s="15">
        <v>28.808199999999999</v>
      </c>
      <c r="AK32" s="15">
        <v>28.0321</v>
      </c>
      <c r="AL32" s="15">
        <v>-4.1500000000000004</v>
      </c>
      <c r="AM32" s="15">
        <v>24.9</v>
      </c>
    </row>
    <row r="33" spans="1:39">
      <c r="A33">
        <v>29</v>
      </c>
      <c r="B33" s="4" t="s">
        <v>63</v>
      </c>
      <c r="C33" s="4">
        <v>1217</v>
      </c>
      <c r="D33" s="4">
        <v>95.3</v>
      </c>
      <c r="E33" s="4">
        <v>240.53</v>
      </c>
      <c r="F33" s="4">
        <f>E33-D33</f>
        <v>145.23000000000002</v>
      </c>
      <c r="G33" s="4">
        <v>80.06</v>
      </c>
      <c r="J33" s="4">
        <v>5</v>
      </c>
      <c r="K33" s="15">
        <v>193.86</v>
      </c>
      <c r="L33" s="9">
        <f>D33+K33</f>
        <v>289.16000000000003</v>
      </c>
      <c r="M33" s="4">
        <v>1.3</v>
      </c>
      <c r="N33" s="15">
        <v>7.77</v>
      </c>
      <c r="O33" s="4">
        <f>N33-M33</f>
        <v>6.47</v>
      </c>
      <c r="P33" s="4">
        <v>5.0281000000000002</v>
      </c>
      <c r="Q33" s="4">
        <f>P33-M33</f>
        <v>3.7281000000000004</v>
      </c>
      <c r="R33" s="4">
        <v>5.8</v>
      </c>
      <c r="S33" s="4">
        <v>5.8</v>
      </c>
      <c r="T33" s="4">
        <v>5.6</v>
      </c>
      <c r="U33" s="35">
        <f>AVERAGE(R33,S33,T33)</f>
        <v>5.7333333333333334</v>
      </c>
      <c r="V33" s="5">
        <v>20</v>
      </c>
      <c r="W33" s="5">
        <v>22.6861</v>
      </c>
      <c r="X33" s="5">
        <v>26.636800000000001</v>
      </c>
      <c r="Y33" s="5">
        <v>26.524999999999999</v>
      </c>
      <c r="Z33" s="5">
        <v>-169.65</v>
      </c>
      <c r="AA33" s="5">
        <v>24.9</v>
      </c>
      <c r="AB33" s="5">
        <v>24</v>
      </c>
      <c r="AC33" s="5">
        <v>24.629300000000001</v>
      </c>
      <c r="AD33" s="5">
        <v>28.3581</v>
      </c>
      <c r="AE33" s="5">
        <v>28.2121</v>
      </c>
      <c r="AF33" s="5">
        <v>-151.19</v>
      </c>
      <c r="AG33" s="5">
        <v>24.9</v>
      </c>
      <c r="AH33" s="5">
        <v>29</v>
      </c>
      <c r="AI33" s="5">
        <v>24.742699999999999</v>
      </c>
      <c r="AJ33" s="5">
        <v>28.133700000000001</v>
      </c>
      <c r="AK33" s="5">
        <v>27.971599999999999</v>
      </c>
      <c r="AL33" s="5">
        <v>-109.28</v>
      </c>
      <c r="AM33" s="5">
        <v>24.9</v>
      </c>
    </row>
    <row r="34" spans="1:39">
      <c r="A34">
        <v>23</v>
      </c>
      <c r="B34" s="4" t="s">
        <v>64</v>
      </c>
      <c r="C34" s="4">
        <v>1194</v>
      </c>
      <c r="D34" s="4">
        <v>93.7</v>
      </c>
      <c r="E34" s="4">
        <v>236.12</v>
      </c>
      <c r="F34" s="4">
        <f>E34-D34</f>
        <v>142.42000000000002</v>
      </c>
      <c r="G34" s="4">
        <v>97.61</v>
      </c>
      <c r="J34" s="4">
        <v>3</v>
      </c>
      <c r="K34" s="15">
        <v>194.82</v>
      </c>
      <c r="L34" s="9">
        <f>D34+K34</f>
        <v>288.52</v>
      </c>
      <c r="M34" s="4">
        <v>1.28</v>
      </c>
      <c r="N34" s="4">
        <v>2.17</v>
      </c>
      <c r="O34" s="4">
        <f>N34-M34</f>
        <v>0.8899999999999999</v>
      </c>
      <c r="P34" s="4">
        <v>1.7825</v>
      </c>
      <c r="Q34" s="4">
        <f>P34-M34</f>
        <v>0.50249999999999995</v>
      </c>
      <c r="R34" s="4">
        <v>5.5</v>
      </c>
      <c r="S34" s="4">
        <v>5.0999999999999996</v>
      </c>
      <c r="T34" s="4">
        <v>5.3</v>
      </c>
      <c r="U34" s="4">
        <f>AVERAGE(R34,S34,T34)</f>
        <v>5.3</v>
      </c>
      <c r="V34" s="5">
        <v>3</v>
      </c>
      <c r="W34" s="5">
        <v>24.4968</v>
      </c>
      <c r="X34" s="5">
        <v>28.2484</v>
      </c>
      <c r="Y34" s="5">
        <v>27.663599999999999</v>
      </c>
      <c r="Z34" s="5">
        <v>-6.64</v>
      </c>
      <c r="AA34" s="5">
        <v>24.9</v>
      </c>
      <c r="AB34" s="5">
        <v>10</v>
      </c>
      <c r="AC34" s="5">
        <v>24.603200000000001</v>
      </c>
      <c r="AD34" s="5">
        <v>28.630299999999998</v>
      </c>
      <c r="AE34" s="5">
        <v>27.735099999999999</v>
      </c>
      <c r="AF34" s="5">
        <v>-1.2</v>
      </c>
      <c r="AG34" s="5">
        <v>24.9</v>
      </c>
      <c r="AH34" s="5">
        <v>11</v>
      </c>
      <c r="AI34" s="5">
        <v>24.6877</v>
      </c>
      <c r="AJ34" s="5">
        <v>28.347000000000001</v>
      </c>
      <c r="AK34" s="5">
        <v>27.543299999999999</v>
      </c>
      <c r="AL34" s="5">
        <v>-1.25</v>
      </c>
      <c r="AM34" s="5">
        <v>24.9</v>
      </c>
    </row>
    <row r="35" spans="1:39">
      <c r="A35">
        <v>2</v>
      </c>
      <c r="B35" s="62" t="s">
        <v>65</v>
      </c>
      <c r="C35" s="4">
        <v>1481</v>
      </c>
      <c r="D35" s="4">
        <v>93.4</v>
      </c>
      <c r="E35" s="4">
        <v>254.56</v>
      </c>
      <c r="F35" s="4">
        <f>E35-D35</f>
        <v>161.16</v>
      </c>
      <c r="G35" s="4">
        <v>117.29</v>
      </c>
      <c r="J35" s="15">
        <v>2</v>
      </c>
      <c r="K35" s="15">
        <v>196.3</v>
      </c>
      <c r="L35" s="9">
        <f>D35+K35</f>
        <v>289.70000000000005</v>
      </c>
      <c r="M35" s="4">
        <v>2.0699999999999998</v>
      </c>
      <c r="N35" s="4">
        <v>12.01</v>
      </c>
      <c r="O35" s="4">
        <f>N35-M35</f>
        <v>9.94</v>
      </c>
      <c r="P35" s="4">
        <v>9.0299999999999994</v>
      </c>
      <c r="Q35" s="4">
        <f>P35-M35</f>
        <v>6.9599999999999991</v>
      </c>
      <c r="R35" s="4">
        <v>5.7</v>
      </c>
      <c r="S35" s="4">
        <v>5.5</v>
      </c>
      <c r="T35" s="4">
        <v>5.7</v>
      </c>
      <c r="U35" s="16">
        <f>AVERAGE(R35,S35,T35)</f>
        <v>5.6333333333333329</v>
      </c>
      <c r="V35" s="1">
        <v>3</v>
      </c>
      <c r="W35" s="22">
        <v>24.496099999999998</v>
      </c>
      <c r="X35" s="5">
        <v>27.825500000000002</v>
      </c>
      <c r="Y35" s="5">
        <v>27.604700000000001</v>
      </c>
      <c r="Z35" s="5">
        <v>-26.45</v>
      </c>
      <c r="AA35" s="5">
        <v>24.9</v>
      </c>
      <c r="AB35" s="1">
        <v>26</v>
      </c>
      <c r="AC35" s="5">
        <v>24.713799999999999</v>
      </c>
      <c r="AD35" s="5">
        <v>30.1736</v>
      </c>
      <c r="AE35" s="5">
        <v>29.400700000000001</v>
      </c>
      <c r="AF35" s="5">
        <v>-3.42</v>
      </c>
      <c r="AG35" s="5">
        <v>24.9</v>
      </c>
      <c r="AH35" s="1">
        <v>30</v>
      </c>
      <c r="AI35" s="5">
        <v>24.795000000000002</v>
      </c>
      <c r="AJ35" s="5">
        <v>29.223500000000001</v>
      </c>
      <c r="AK35" s="5">
        <v>28.595600000000001</v>
      </c>
      <c r="AL35" s="5">
        <v>-3.28</v>
      </c>
      <c r="AM35" s="5">
        <v>24.9</v>
      </c>
    </row>
    <row r="36" spans="1:39">
      <c r="A36">
        <v>24</v>
      </c>
      <c r="B36" s="58" t="s">
        <v>66</v>
      </c>
      <c r="C36" s="58">
        <v>603</v>
      </c>
      <c r="D36" s="58">
        <v>96.34</v>
      </c>
      <c r="E36" s="58">
        <v>256.10000000000002</v>
      </c>
      <c r="F36" s="58">
        <f>E36-D36</f>
        <v>159.76000000000002</v>
      </c>
      <c r="G36" s="58">
        <v>114.11</v>
      </c>
      <c r="H36" s="58"/>
      <c r="I36" s="58"/>
      <c r="J36" s="58">
        <v>2</v>
      </c>
      <c r="K36" s="57">
        <v>196.3</v>
      </c>
      <c r="L36" s="9">
        <f>D36+K36</f>
        <v>292.64</v>
      </c>
      <c r="M36" s="58">
        <v>1.27</v>
      </c>
      <c r="N36" s="58">
        <v>1.63</v>
      </c>
      <c r="O36" s="58">
        <f>N36-M36</f>
        <v>0.35999999999999988</v>
      </c>
      <c r="P36" s="58">
        <v>1.4943</v>
      </c>
      <c r="Q36" s="58">
        <f>P36-M36</f>
        <v>0.22429999999999994</v>
      </c>
      <c r="R36" s="58">
        <v>5.3</v>
      </c>
      <c r="S36" s="58">
        <v>5.0999999999999996</v>
      </c>
      <c r="T36" s="58">
        <v>5.0999999999999996</v>
      </c>
      <c r="U36" s="66">
        <f>AVERAGE(R36,S36,T36)</f>
        <v>5.1666666666666661</v>
      </c>
      <c r="V36" s="69">
        <v>1</v>
      </c>
      <c r="W36" s="69">
        <v>24.374300000000002</v>
      </c>
      <c r="X36" s="69">
        <v>28.7193</v>
      </c>
      <c r="Y36" s="69">
        <v>28.161799999999999</v>
      </c>
      <c r="Z36" s="69">
        <v>-6.18</v>
      </c>
      <c r="AA36" s="69">
        <v>24.9</v>
      </c>
      <c r="AB36" s="69">
        <v>21</v>
      </c>
      <c r="AC36" s="69">
        <v>24.223199999999999</v>
      </c>
      <c r="AD36" s="69">
        <v>29.111999999999998</v>
      </c>
      <c r="AE36" s="69">
        <v>28.216100000000001</v>
      </c>
      <c r="AF36" s="69">
        <v>-1.26</v>
      </c>
      <c r="AG36" s="69">
        <v>25</v>
      </c>
      <c r="AH36" s="69">
        <v>28</v>
      </c>
      <c r="AI36" s="69">
        <v>24.5564</v>
      </c>
      <c r="AJ36" s="69">
        <v>29.42</v>
      </c>
      <c r="AK36" s="69">
        <v>28.4133</v>
      </c>
      <c r="AL36" s="69">
        <v>-0.34</v>
      </c>
      <c r="AM36" s="69">
        <v>24.9</v>
      </c>
    </row>
    <row r="37" spans="1:39">
      <c r="A37">
        <v>31</v>
      </c>
      <c r="B37" s="4" t="s">
        <v>67</v>
      </c>
      <c r="C37" s="4">
        <v>1381</v>
      </c>
      <c r="D37" s="4">
        <v>92.8</v>
      </c>
      <c r="E37" s="4">
        <v>247.93</v>
      </c>
      <c r="F37" s="4">
        <f>E37-D37</f>
        <v>155.13</v>
      </c>
      <c r="G37" s="4">
        <v>109.23</v>
      </c>
      <c r="J37" s="4">
        <v>1</v>
      </c>
      <c r="K37" s="15">
        <v>197.78</v>
      </c>
      <c r="L37" s="9">
        <f>D37+K37</f>
        <v>290.58</v>
      </c>
      <c r="M37" s="4">
        <v>1.27</v>
      </c>
      <c r="N37" s="4">
        <v>3.03</v>
      </c>
      <c r="O37" s="4">
        <f>N37-M37</f>
        <v>1.7599999999999998</v>
      </c>
      <c r="P37" s="4">
        <v>2.37</v>
      </c>
      <c r="Q37" s="4">
        <f>P37-M37</f>
        <v>1.1000000000000001</v>
      </c>
      <c r="R37" s="4">
        <v>5.5</v>
      </c>
      <c r="S37" s="4">
        <v>5.4</v>
      </c>
      <c r="T37" s="4">
        <v>5.3</v>
      </c>
      <c r="U37" s="35">
        <f>AVERAGE(R37,S37,T37)</f>
        <v>5.3999999999999995</v>
      </c>
      <c r="V37" s="15">
        <v>3</v>
      </c>
      <c r="W37" s="15">
        <v>24.497399999999999</v>
      </c>
      <c r="X37" s="15">
        <v>29.3858</v>
      </c>
      <c r="Y37" s="15">
        <v>28.917999999999999</v>
      </c>
      <c r="Z37" s="15">
        <v>-11.29</v>
      </c>
      <c r="AA37" s="15">
        <v>24.9</v>
      </c>
      <c r="AB37" s="15">
        <v>17</v>
      </c>
      <c r="AC37" s="15">
        <v>23.494700000000002</v>
      </c>
      <c r="AD37" s="15">
        <v>28.254999999999999</v>
      </c>
      <c r="AE37" s="15">
        <v>27.338000000000001</v>
      </c>
      <c r="AF37" s="15">
        <v>-0.25</v>
      </c>
      <c r="AG37" s="15">
        <v>24.9</v>
      </c>
      <c r="AH37" s="15">
        <v>20</v>
      </c>
      <c r="AI37" s="15">
        <v>22.686800000000002</v>
      </c>
      <c r="AJ37" s="15">
        <v>27.286999999999999</v>
      </c>
      <c r="AK37" s="15">
        <v>26.4116</v>
      </c>
      <c r="AL37" s="15">
        <v>0.1</v>
      </c>
      <c r="AM37" s="15">
        <v>24.9</v>
      </c>
    </row>
    <row r="41" spans="1:39" ht="101.25">
      <c r="A41" s="71" t="s">
        <v>68</v>
      </c>
      <c r="B41" s="72" t="s">
        <v>1</v>
      </c>
      <c r="C41" s="71" t="s">
        <v>2</v>
      </c>
      <c r="D41" s="73" t="s">
        <v>3</v>
      </c>
      <c r="E41" s="73" t="s">
        <v>4</v>
      </c>
      <c r="F41" s="73" t="s">
        <v>5</v>
      </c>
      <c r="G41" s="73" t="s">
        <v>6</v>
      </c>
      <c r="H41" s="73" t="s">
        <v>7</v>
      </c>
      <c r="I41" s="73" t="s">
        <v>8</v>
      </c>
      <c r="J41" s="73" t="s">
        <v>9</v>
      </c>
      <c r="K41" s="73" t="s">
        <v>10</v>
      </c>
      <c r="L41" s="73" t="s">
        <v>12</v>
      </c>
      <c r="M41" s="73" t="s">
        <v>13</v>
      </c>
      <c r="N41" s="73" t="s">
        <v>14</v>
      </c>
      <c r="O41" s="73" t="s">
        <v>15</v>
      </c>
      <c r="P41" s="73" t="s">
        <v>16</v>
      </c>
      <c r="Q41" s="73" t="s">
        <v>69</v>
      </c>
      <c r="R41" s="73" t="s">
        <v>70</v>
      </c>
      <c r="S41" s="73" t="s">
        <v>71</v>
      </c>
      <c r="T41" s="73" t="s">
        <v>72</v>
      </c>
      <c r="U41" s="73" t="s">
        <v>72</v>
      </c>
    </row>
    <row r="42" spans="1:39">
      <c r="A42" s="74">
        <v>46188</v>
      </c>
      <c r="B42" s="75" t="s">
        <v>73</v>
      </c>
      <c r="C42" s="75">
        <v>1354</v>
      </c>
      <c r="D42" s="75">
        <v>95.5</v>
      </c>
      <c r="E42" s="75">
        <v>241.08</v>
      </c>
      <c r="F42" s="75">
        <v>145.58000000000001</v>
      </c>
      <c r="G42" s="75"/>
      <c r="H42" s="75"/>
      <c r="I42" s="75"/>
      <c r="J42" s="75">
        <v>3</v>
      </c>
      <c r="K42" s="75">
        <v>194.69</v>
      </c>
      <c r="L42" s="75">
        <v>4.0599999999999996</v>
      </c>
      <c r="M42" s="75">
        <v>18.91</v>
      </c>
      <c r="N42" s="75">
        <v>14.85</v>
      </c>
      <c r="O42" s="75">
        <v>12.74</v>
      </c>
      <c r="P42" s="75">
        <v>8.68</v>
      </c>
      <c r="Q42" s="75">
        <v>4.09</v>
      </c>
      <c r="R42" s="75">
        <v>98.55</v>
      </c>
      <c r="S42" s="75">
        <v>94.46</v>
      </c>
      <c r="T42" s="75">
        <v>76.02</v>
      </c>
      <c r="U42" s="75">
        <v>71.930000000000007</v>
      </c>
    </row>
    <row r="43" spans="1:39">
      <c r="A43" s="74">
        <v>46188</v>
      </c>
      <c r="B43" s="75" t="s">
        <v>74</v>
      </c>
      <c r="C43" s="75">
        <v>1316</v>
      </c>
      <c r="D43" s="75">
        <v>95.5</v>
      </c>
      <c r="E43" s="75">
        <v>239.01</v>
      </c>
      <c r="F43" s="75">
        <v>143.51</v>
      </c>
      <c r="G43" s="75"/>
      <c r="H43" s="75"/>
      <c r="I43" s="75"/>
      <c r="J43" s="75">
        <v>5</v>
      </c>
      <c r="K43" s="75">
        <v>193.35</v>
      </c>
      <c r="L43" s="75">
        <v>4.13</v>
      </c>
      <c r="M43" s="75">
        <v>37.15</v>
      </c>
      <c r="N43" s="75">
        <v>33.020000000000003</v>
      </c>
      <c r="O43" s="75">
        <v>27.24</v>
      </c>
      <c r="P43" s="75">
        <v>23.11</v>
      </c>
      <c r="Q43" s="75">
        <v>4.13</v>
      </c>
      <c r="R43" s="75">
        <v>78.150000000000006</v>
      </c>
      <c r="S43" s="75">
        <v>74.02</v>
      </c>
      <c r="T43" s="75">
        <v>59.113999999999997</v>
      </c>
      <c r="U43" s="75">
        <v>54.984000000000002</v>
      </c>
    </row>
  </sheetData>
  <sortState xmlns:xlrd2="http://schemas.microsoft.com/office/spreadsheetml/2017/richdata2" ref="A2:AN37">
    <sortCondition ref="B2:B37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4D0C-EB99-42A9-BC6A-BA21D2852810}">
  <dimension ref="A1:O36"/>
  <sheetViews>
    <sheetView zoomScale="89" workbookViewId="0">
      <selection activeCell="A28" sqref="A28"/>
    </sheetView>
  </sheetViews>
  <sheetFormatPr defaultRowHeight="15"/>
  <cols>
    <col min="1" max="1" width="19.42578125" style="4" customWidth="1"/>
    <col min="2" max="2" width="14" style="4" customWidth="1"/>
    <col min="8" max="8" width="12.5703125" customWidth="1"/>
  </cols>
  <sheetData>
    <row r="1" spans="1:15" ht="68.25" customHeight="1">
      <c r="A1" s="2" t="s">
        <v>1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t="s">
        <v>82</v>
      </c>
    </row>
    <row r="2" spans="1:15">
      <c r="A2" s="4" t="s">
        <v>55</v>
      </c>
      <c r="B2" s="15" t="s">
        <v>83</v>
      </c>
      <c r="C2" s="4">
        <v>1.27</v>
      </c>
      <c r="D2" s="4">
        <v>4.84</v>
      </c>
      <c r="E2" s="4">
        <v>4.5039999999999996</v>
      </c>
      <c r="F2" s="4">
        <f>(E2-C2)</f>
        <v>3.2339999999999995</v>
      </c>
      <c r="G2" s="4">
        <f>D2-E2</f>
        <v>0.3360000000000003</v>
      </c>
      <c r="H2" s="4">
        <f>G2/F2</f>
        <v>0.103896103896104</v>
      </c>
    </row>
    <row r="3" spans="1:15">
      <c r="A3" s="4" t="s">
        <v>65</v>
      </c>
      <c r="B3" s="15" t="s">
        <v>84</v>
      </c>
      <c r="C3" s="4">
        <v>2.14</v>
      </c>
      <c r="D3" s="4">
        <v>19.72</v>
      </c>
      <c r="E3" s="4">
        <v>17.313199999999998</v>
      </c>
      <c r="F3" s="4">
        <f t="shared" ref="F3:F18" si="0">(E3-C3)</f>
        <v>15.173199999999998</v>
      </c>
      <c r="G3" s="4">
        <f>D3-E3</f>
        <v>2.4068000000000005</v>
      </c>
      <c r="H3" s="4">
        <f t="shared" ref="H3:H36" si="1">G3/F3</f>
        <v>0.15862178050773737</v>
      </c>
    </row>
    <row r="4" spans="1:15">
      <c r="A4" s="4" t="s">
        <v>29</v>
      </c>
      <c r="B4" s="15" t="s">
        <v>85</v>
      </c>
      <c r="C4" s="4">
        <v>1.28</v>
      </c>
      <c r="D4" s="4">
        <v>6.93</v>
      </c>
      <c r="E4" s="4">
        <v>5.8033999999999999</v>
      </c>
      <c r="F4" s="4">
        <f t="shared" si="0"/>
        <v>4.5233999999999996</v>
      </c>
      <c r="G4" s="4">
        <f t="shared" ref="G4:G36" si="2">D4-E4</f>
        <v>1.1265999999999998</v>
      </c>
      <c r="H4" s="4">
        <f t="shared" si="1"/>
        <v>0.24906044126099836</v>
      </c>
      <c r="O4" s="15"/>
    </row>
    <row r="5" spans="1:15">
      <c r="A5" s="4" t="s">
        <v>31</v>
      </c>
      <c r="B5" s="15" t="s">
        <v>86</v>
      </c>
      <c r="C5" s="4">
        <v>1.28</v>
      </c>
      <c r="D5" s="4">
        <v>10.66</v>
      </c>
      <c r="E5" s="4">
        <v>8.2916000000000007</v>
      </c>
      <c r="F5" s="4">
        <f t="shared" si="0"/>
        <v>7.0116000000000005</v>
      </c>
      <c r="G5" s="4">
        <f t="shared" si="2"/>
        <v>2.3683999999999994</v>
      </c>
      <c r="H5" s="4">
        <f t="shared" si="1"/>
        <v>0.33778310228763753</v>
      </c>
      <c r="O5" s="15"/>
    </row>
    <row r="6" spans="1:15">
      <c r="A6" s="4" t="s">
        <v>43</v>
      </c>
      <c r="B6" s="15" t="s">
        <v>87</v>
      </c>
      <c r="C6" s="4">
        <v>1.28</v>
      </c>
      <c r="D6" s="4">
        <v>3.99</v>
      </c>
      <c r="E6" s="4">
        <v>3.3906000000000001</v>
      </c>
      <c r="F6" s="4">
        <f t="shared" si="0"/>
        <v>2.1105999999999998</v>
      </c>
      <c r="G6" s="4">
        <f t="shared" si="2"/>
        <v>0.59940000000000015</v>
      </c>
      <c r="H6" s="4">
        <f t="shared" si="1"/>
        <v>0.28399507249123485</v>
      </c>
      <c r="O6" s="15"/>
    </row>
    <row r="7" spans="1:15">
      <c r="A7" s="4" t="s">
        <v>38</v>
      </c>
      <c r="B7" s="15" t="s">
        <v>88</v>
      </c>
      <c r="C7" s="4">
        <v>2.13</v>
      </c>
      <c r="D7" s="4">
        <v>12.76</v>
      </c>
      <c r="E7" s="4">
        <v>9.8493999999999993</v>
      </c>
      <c r="F7" s="4">
        <f t="shared" si="0"/>
        <v>7.7193999999999994</v>
      </c>
      <c r="G7" s="4">
        <f t="shared" si="2"/>
        <v>2.9106000000000005</v>
      </c>
      <c r="H7" s="4">
        <f t="shared" si="1"/>
        <v>0.37705002979506191</v>
      </c>
      <c r="O7" s="15"/>
    </row>
    <row r="8" spans="1:15">
      <c r="A8" s="4" t="s">
        <v>46</v>
      </c>
      <c r="B8" s="4" t="s">
        <v>89</v>
      </c>
      <c r="C8" s="4">
        <v>1.28</v>
      </c>
      <c r="D8" s="4">
        <v>10.68</v>
      </c>
      <c r="E8" s="4">
        <v>6.8650000000000002</v>
      </c>
      <c r="F8" s="4">
        <f t="shared" si="0"/>
        <v>5.585</v>
      </c>
      <c r="G8" s="4">
        <f t="shared" si="2"/>
        <v>3.8149999999999995</v>
      </c>
      <c r="H8" s="4">
        <f t="shared" si="1"/>
        <v>0.6830796777081467</v>
      </c>
      <c r="O8" s="4"/>
    </row>
    <row r="9" spans="1:15">
      <c r="A9" s="4" t="s">
        <v>34</v>
      </c>
      <c r="B9" s="4" t="s">
        <v>90</v>
      </c>
      <c r="C9" s="4">
        <v>1.29</v>
      </c>
      <c r="D9" s="4">
        <v>8.6</v>
      </c>
      <c r="E9" s="4">
        <v>7.1257999999999999</v>
      </c>
      <c r="F9" s="4">
        <f t="shared" si="0"/>
        <v>5.8357999999999999</v>
      </c>
      <c r="G9" s="4">
        <f t="shared" si="2"/>
        <v>1.4741999999999997</v>
      </c>
      <c r="H9" s="4">
        <f t="shared" si="1"/>
        <v>0.25261318071215594</v>
      </c>
      <c r="O9" s="4"/>
    </row>
    <row r="10" spans="1:15">
      <c r="A10" s="4" t="s">
        <v>45</v>
      </c>
      <c r="B10" s="4" t="s">
        <v>91</v>
      </c>
      <c r="C10" s="4">
        <v>1.31</v>
      </c>
      <c r="D10" s="4">
        <v>7.71</v>
      </c>
      <c r="E10" s="4">
        <v>5.9244000000000003</v>
      </c>
      <c r="F10" s="4">
        <f t="shared" si="0"/>
        <v>4.6143999999999998</v>
      </c>
      <c r="G10" s="4">
        <f t="shared" si="2"/>
        <v>1.7855999999999996</v>
      </c>
      <c r="H10" s="4">
        <f t="shared" si="1"/>
        <v>0.38696255201109564</v>
      </c>
      <c r="O10" s="4"/>
    </row>
    <row r="11" spans="1:15">
      <c r="A11" s="4" t="s">
        <v>47</v>
      </c>
      <c r="B11" s="4" t="s">
        <v>92</v>
      </c>
      <c r="C11" s="4">
        <v>1.28</v>
      </c>
      <c r="D11" s="4">
        <v>10.82</v>
      </c>
      <c r="E11" s="4">
        <v>6.8754999999999997</v>
      </c>
      <c r="F11" s="4">
        <f t="shared" si="0"/>
        <v>5.5954999999999995</v>
      </c>
      <c r="G11" s="4">
        <f t="shared" si="2"/>
        <v>3.9445000000000006</v>
      </c>
      <c r="H11" s="4">
        <f t="shared" si="1"/>
        <v>0.7049414708247701</v>
      </c>
      <c r="O11" s="4"/>
    </row>
    <row r="12" spans="1:15">
      <c r="A12" s="4" t="s">
        <v>59</v>
      </c>
      <c r="B12" s="4" t="s">
        <v>93</v>
      </c>
      <c r="C12" s="4">
        <v>1.28</v>
      </c>
      <c r="D12" s="4">
        <v>8.92</v>
      </c>
      <c r="E12" s="4">
        <v>7.6706000000000003</v>
      </c>
      <c r="F12" s="4">
        <f t="shared" si="0"/>
        <v>6.3906000000000001</v>
      </c>
      <c r="G12" s="4">
        <f t="shared" si="2"/>
        <v>1.2493999999999996</v>
      </c>
      <c r="H12" s="4">
        <f t="shared" si="1"/>
        <v>0.19550589928958151</v>
      </c>
      <c r="O12" s="4"/>
    </row>
    <row r="13" spans="1:15">
      <c r="A13" s="4" t="s">
        <v>39</v>
      </c>
      <c r="B13" s="4" t="s">
        <v>94</v>
      </c>
      <c r="C13" s="4">
        <v>1.29</v>
      </c>
      <c r="D13" s="4">
        <v>8.8000000000000007</v>
      </c>
      <c r="E13" s="4">
        <v>9.1481999999999992</v>
      </c>
      <c r="F13" s="4">
        <f t="shared" si="0"/>
        <v>7.8581999999999992</v>
      </c>
      <c r="G13" s="4">
        <f t="shared" si="2"/>
        <v>-0.34819999999999851</v>
      </c>
      <c r="H13" s="4">
        <f t="shared" si="1"/>
        <v>-4.4310401873202329E-2</v>
      </c>
      <c r="O13" s="4"/>
    </row>
    <row r="14" spans="1:15">
      <c r="A14" s="4" t="s">
        <v>36</v>
      </c>
      <c r="B14" s="4" t="s">
        <v>95</v>
      </c>
      <c r="C14" s="4">
        <v>1.28</v>
      </c>
      <c r="D14" s="4">
        <v>5.94</v>
      </c>
      <c r="E14" s="4">
        <v>4.9161000000000001</v>
      </c>
      <c r="F14" s="4">
        <f t="shared" si="0"/>
        <v>3.6360999999999999</v>
      </c>
      <c r="G14" s="4">
        <f t="shared" si="2"/>
        <v>1.0239000000000003</v>
      </c>
      <c r="H14" s="4">
        <f t="shared" si="1"/>
        <v>0.28159291548637283</v>
      </c>
    </row>
    <row r="15" spans="1:15">
      <c r="A15" s="4" t="s">
        <v>60</v>
      </c>
      <c r="B15" s="4" t="s">
        <v>96</v>
      </c>
      <c r="C15" s="4">
        <v>1.28</v>
      </c>
      <c r="D15" s="4">
        <v>10.06</v>
      </c>
      <c r="E15" s="4">
        <v>8.6504999999999992</v>
      </c>
      <c r="F15" s="4">
        <f t="shared" si="0"/>
        <v>7.3704999999999989</v>
      </c>
      <c r="G15" s="4">
        <f t="shared" si="2"/>
        <v>1.4095000000000013</v>
      </c>
      <c r="H15" s="4">
        <f t="shared" si="1"/>
        <v>0.19123533003188406</v>
      </c>
    </row>
    <row r="16" spans="1:15">
      <c r="A16" s="4" t="s">
        <v>58</v>
      </c>
      <c r="B16" s="4" t="s">
        <v>97</v>
      </c>
      <c r="C16" s="4">
        <v>1.26</v>
      </c>
      <c r="D16" s="4">
        <v>8.42</v>
      </c>
      <c r="E16" s="4">
        <v>6.8819999999999997</v>
      </c>
      <c r="F16" s="4">
        <f t="shared" si="0"/>
        <v>5.6219999999999999</v>
      </c>
      <c r="G16" s="4">
        <f t="shared" si="2"/>
        <v>1.5380000000000003</v>
      </c>
      <c r="H16" s="4">
        <f t="shared" si="1"/>
        <v>0.27356812522234086</v>
      </c>
    </row>
    <row r="17" spans="1:8">
      <c r="A17" s="4" t="s">
        <v>49</v>
      </c>
      <c r="B17" s="4" t="s">
        <v>98</v>
      </c>
      <c r="C17" s="4">
        <v>1.27</v>
      </c>
      <c r="D17" s="4">
        <v>6.08</v>
      </c>
      <c r="E17" s="4">
        <v>5.2389999999999999</v>
      </c>
      <c r="F17" s="4">
        <f t="shared" si="0"/>
        <v>3.9689999999999999</v>
      </c>
      <c r="G17" s="4">
        <f t="shared" si="2"/>
        <v>0.84100000000000019</v>
      </c>
      <c r="H17" s="4">
        <f t="shared" si="1"/>
        <v>0.21189216427311672</v>
      </c>
    </row>
    <row r="18" spans="1:8">
      <c r="A18" s="4" t="s">
        <v>53</v>
      </c>
      <c r="B18" s="4" t="s">
        <v>99</v>
      </c>
      <c r="C18" s="4">
        <v>1.27</v>
      </c>
      <c r="D18" s="4">
        <v>7.7</v>
      </c>
      <c r="E18" s="4">
        <v>7.0675999999999997</v>
      </c>
      <c r="F18" s="4">
        <f t="shared" si="0"/>
        <v>5.7975999999999992</v>
      </c>
      <c r="G18" s="4">
        <f t="shared" si="2"/>
        <v>0.63240000000000052</v>
      </c>
      <c r="H18" s="4">
        <f t="shared" si="1"/>
        <v>0.10907961915275297</v>
      </c>
    </row>
    <row r="19" spans="1:8">
      <c r="A19" s="4" t="s">
        <v>41</v>
      </c>
      <c r="B19" s="4" t="s">
        <v>100</v>
      </c>
      <c r="C19" s="4">
        <v>1.27</v>
      </c>
      <c r="D19" s="4">
        <v>10.41</v>
      </c>
      <c r="E19" s="4">
        <v>9.0610999999999997</v>
      </c>
      <c r="F19" s="4">
        <f t="shared" ref="F19:F33" si="3">(E19-C19)</f>
        <v>7.7911000000000001</v>
      </c>
      <c r="G19" s="4">
        <f t="shared" si="2"/>
        <v>1.3489000000000004</v>
      </c>
      <c r="H19" s="4">
        <f t="shared" si="1"/>
        <v>0.17313344713840156</v>
      </c>
    </row>
    <row r="20" spans="1:8">
      <c r="A20" s="4" t="s">
        <v>54</v>
      </c>
      <c r="B20" s="4" t="s">
        <v>101</v>
      </c>
      <c r="C20" s="4">
        <v>1.29</v>
      </c>
      <c r="D20" s="4">
        <v>7.9</v>
      </c>
      <c r="E20" s="4">
        <v>8.6485000000000003</v>
      </c>
      <c r="F20" s="4">
        <f t="shared" si="3"/>
        <v>7.3585000000000003</v>
      </c>
      <c r="G20" s="4">
        <f t="shared" si="2"/>
        <v>-0.74849999999999994</v>
      </c>
      <c r="H20" s="4">
        <f t="shared" si="1"/>
        <v>-0.10171910036012773</v>
      </c>
    </row>
    <row r="21" spans="1:8">
      <c r="A21" s="4" t="s">
        <v>42</v>
      </c>
      <c r="B21" s="4" t="s">
        <v>102</v>
      </c>
      <c r="C21" s="4">
        <v>1.28</v>
      </c>
      <c r="D21" s="4">
        <v>5.0599999999999996</v>
      </c>
      <c r="E21" s="4">
        <v>5.2793000000000001</v>
      </c>
      <c r="F21" s="4">
        <f t="shared" si="3"/>
        <v>3.9992999999999999</v>
      </c>
      <c r="G21" s="4">
        <f t="shared" si="2"/>
        <v>-0.21930000000000049</v>
      </c>
      <c r="H21" s="4">
        <f t="shared" si="1"/>
        <v>-5.4834596054309633E-2</v>
      </c>
    </row>
    <row r="22" spans="1:8">
      <c r="A22" s="4" t="s">
        <v>32</v>
      </c>
      <c r="B22" s="4" t="s">
        <v>103</v>
      </c>
      <c r="C22" s="4">
        <v>1.28</v>
      </c>
      <c r="D22" s="4">
        <v>5.15</v>
      </c>
      <c r="E22" s="4">
        <v>5.5014000000000003</v>
      </c>
      <c r="F22" s="4">
        <f t="shared" si="3"/>
        <v>4.2214</v>
      </c>
      <c r="G22" s="4">
        <f t="shared" si="2"/>
        <v>-0.35139999999999993</v>
      </c>
      <c r="H22" s="4">
        <f t="shared" si="1"/>
        <v>-8.3242526176150078E-2</v>
      </c>
    </row>
    <row r="23" spans="1:8">
      <c r="A23" s="4" t="s">
        <v>35</v>
      </c>
      <c r="B23" s="4" t="s">
        <v>104</v>
      </c>
      <c r="C23" s="4">
        <v>1.28</v>
      </c>
      <c r="D23" s="4">
        <v>5.12</v>
      </c>
      <c r="E23" s="4">
        <v>5.8022999999999998</v>
      </c>
      <c r="F23" s="4">
        <f t="shared" si="3"/>
        <v>4.5222999999999995</v>
      </c>
      <c r="G23" s="4">
        <f t="shared" si="2"/>
        <v>-0.68229999999999968</v>
      </c>
      <c r="H23" s="4">
        <f t="shared" si="1"/>
        <v>-0.15087455498308378</v>
      </c>
    </row>
    <row r="24" spans="1:8">
      <c r="A24" s="4" t="s">
        <v>64</v>
      </c>
      <c r="B24" s="4" t="s">
        <v>105</v>
      </c>
      <c r="C24" s="4">
        <v>1.28</v>
      </c>
      <c r="D24" s="4">
        <v>5.45</v>
      </c>
      <c r="E24" s="4">
        <v>5.5556999999999999</v>
      </c>
      <c r="F24" s="4">
        <f t="shared" si="3"/>
        <v>4.2756999999999996</v>
      </c>
      <c r="G24" s="4">
        <f t="shared" si="2"/>
        <v>-0.10569999999999968</v>
      </c>
      <c r="H24" s="4">
        <f t="shared" si="1"/>
        <v>-2.4721098299693545E-2</v>
      </c>
    </row>
    <row r="25" spans="1:8">
      <c r="A25" s="4" t="s">
        <v>66</v>
      </c>
      <c r="B25" s="4" t="s">
        <v>106</v>
      </c>
      <c r="C25" s="4">
        <v>1.29</v>
      </c>
      <c r="D25" s="4">
        <v>6.2</v>
      </c>
      <c r="E25" s="4">
        <v>6.1329000000000002</v>
      </c>
      <c r="F25" s="4">
        <f t="shared" si="3"/>
        <v>4.8429000000000002</v>
      </c>
      <c r="G25" s="4">
        <f t="shared" si="2"/>
        <v>6.7099999999999937E-2</v>
      </c>
      <c r="H25" s="4">
        <f t="shared" si="1"/>
        <v>1.3855334613557979E-2</v>
      </c>
    </row>
    <row r="26" spans="1:8">
      <c r="A26" s="4" t="s">
        <v>40</v>
      </c>
      <c r="B26" s="4" t="s">
        <v>107</v>
      </c>
      <c r="C26" s="4">
        <v>1.3</v>
      </c>
      <c r="D26" s="4">
        <v>6.15</v>
      </c>
      <c r="E26" s="4">
        <v>5.3457999999999997</v>
      </c>
      <c r="F26" s="4">
        <f t="shared" si="3"/>
        <v>4.0457999999999998</v>
      </c>
      <c r="G26" s="4">
        <f t="shared" si="2"/>
        <v>0.80420000000000069</v>
      </c>
      <c r="H26" s="4">
        <f t="shared" si="1"/>
        <v>0.19877403727322179</v>
      </c>
    </row>
    <row r="27" spans="1:8">
      <c r="A27" s="4" t="s">
        <v>28</v>
      </c>
      <c r="B27" s="4" t="s">
        <v>108</v>
      </c>
      <c r="C27" s="4">
        <v>1.29</v>
      </c>
      <c r="D27" s="4">
        <v>6.93</v>
      </c>
      <c r="E27" s="4">
        <v>5.5194000000000001</v>
      </c>
      <c r="F27" s="4">
        <f t="shared" si="3"/>
        <v>4.2294</v>
      </c>
      <c r="G27" s="4">
        <f t="shared" si="2"/>
        <v>1.4105999999999996</v>
      </c>
      <c r="H27" s="4">
        <f t="shared" si="1"/>
        <v>0.33352248545893026</v>
      </c>
    </row>
    <row r="28" spans="1:8">
      <c r="A28" s="4" t="s">
        <v>40</v>
      </c>
      <c r="B28" s="4" t="s">
        <v>88</v>
      </c>
      <c r="C28" s="4">
        <v>0</v>
      </c>
      <c r="D28" s="4">
        <v>0</v>
      </c>
      <c r="E28" s="4">
        <v>0</v>
      </c>
      <c r="F28" s="4">
        <f t="shared" si="3"/>
        <v>0</v>
      </c>
      <c r="G28" s="4">
        <f t="shared" si="2"/>
        <v>0</v>
      </c>
      <c r="H28" s="4" t="e">
        <f t="shared" si="1"/>
        <v>#DIV/0!</v>
      </c>
    </row>
    <row r="29" spans="1:8">
      <c r="A29" s="4" t="s">
        <v>44</v>
      </c>
      <c r="B29" s="4" t="s">
        <v>86</v>
      </c>
      <c r="C29" s="4">
        <v>1.2949999999999999</v>
      </c>
      <c r="D29" s="4">
        <v>4.54</v>
      </c>
      <c r="E29" s="4">
        <v>5.4032999999999998</v>
      </c>
      <c r="F29" s="4">
        <f t="shared" si="3"/>
        <v>4.1082999999999998</v>
      </c>
      <c r="G29" s="4">
        <f t="shared" si="2"/>
        <v>-0.86329999999999973</v>
      </c>
      <c r="H29" s="4">
        <f t="shared" si="1"/>
        <v>-0.21013557919334025</v>
      </c>
    </row>
    <row r="30" spans="1:8">
      <c r="A30" s="4" t="s">
        <v>52</v>
      </c>
      <c r="B30" s="4" t="s">
        <v>87</v>
      </c>
      <c r="C30" s="4">
        <v>1.2842</v>
      </c>
      <c r="D30" s="4">
        <v>5.0199999999999996</v>
      </c>
      <c r="E30" s="4">
        <v>5.7882999999999996</v>
      </c>
      <c r="F30" s="4">
        <f t="shared" si="3"/>
        <v>4.5040999999999993</v>
      </c>
      <c r="G30" s="4">
        <f t="shared" si="2"/>
        <v>-0.76829999999999998</v>
      </c>
      <c r="H30" s="4">
        <f t="shared" si="1"/>
        <v>-0.17057791789702717</v>
      </c>
    </row>
    <row r="31" spans="1:8">
      <c r="A31" s="4" t="s">
        <v>63</v>
      </c>
      <c r="B31" s="4" t="s">
        <v>85</v>
      </c>
      <c r="C31" s="4">
        <v>1.2746</v>
      </c>
      <c r="D31" s="4">
        <v>5.19</v>
      </c>
      <c r="E31" s="4">
        <v>5.8083</v>
      </c>
      <c r="F31" s="4">
        <f t="shared" si="3"/>
        <v>4.5336999999999996</v>
      </c>
      <c r="G31" s="4">
        <f t="shared" si="2"/>
        <v>-0.61829999999999963</v>
      </c>
      <c r="H31" s="4">
        <f t="shared" si="1"/>
        <v>-0.1363786752542073</v>
      </c>
    </row>
    <row r="32" spans="1:8">
      <c r="A32" s="4" t="s">
        <v>61</v>
      </c>
      <c r="B32" s="4" t="s">
        <v>83</v>
      </c>
      <c r="C32" s="4">
        <v>1.29</v>
      </c>
      <c r="D32" s="4">
        <v>5.15</v>
      </c>
      <c r="E32" s="4">
        <v>4.2022000000000004</v>
      </c>
      <c r="F32" s="4">
        <f t="shared" si="3"/>
        <v>2.9122000000000003</v>
      </c>
      <c r="G32" s="4">
        <f t="shared" si="2"/>
        <v>0.94779999999999998</v>
      </c>
      <c r="H32" s="4">
        <f t="shared" si="1"/>
        <v>0.32545841631756056</v>
      </c>
    </row>
    <row r="33" spans="1:8">
      <c r="A33" s="4" t="s">
        <v>67</v>
      </c>
      <c r="B33" s="4" t="s">
        <v>84</v>
      </c>
      <c r="C33" s="4">
        <v>1.29</v>
      </c>
      <c r="D33" s="4">
        <v>5.31</v>
      </c>
      <c r="E33" s="4">
        <v>4.5152000000000001</v>
      </c>
      <c r="F33" s="4">
        <f t="shared" si="3"/>
        <v>3.2252000000000001</v>
      </c>
      <c r="G33" s="4">
        <f t="shared" si="2"/>
        <v>0.79479999999999951</v>
      </c>
      <c r="H33" s="4">
        <f t="shared" si="1"/>
        <v>0.2464343296539748</v>
      </c>
    </row>
    <row r="34" spans="1:8">
      <c r="A34" s="4" t="s">
        <v>57</v>
      </c>
      <c r="B34" s="15" t="s">
        <v>88</v>
      </c>
      <c r="C34" s="15">
        <v>1.67</v>
      </c>
      <c r="D34" s="15">
        <v>6.61</v>
      </c>
      <c r="E34" s="15">
        <v>5.5960999999999999</v>
      </c>
      <c r="F34" s="15">
        <v>3.9260999999999999</v>
      </c>
      <c r="G34" s="4">
        <f t="shared" si="2"/>
        <v>1.0139000000000005</v>
      </c>
      <c r="H34" s="4">
        <f t="shared" si="1"/>
        <v>0.25824609663533798</v>
      </c>
    </row>
    <row r="35" spans="1:8">
      <c r="A35" s="4" t="s">
        <v>62</v>
      </c>
      <c r="B35" s="15" t="s">
        <v>86</v>
      </c>
      <c r="C35" s="15">
        <v>1.63</v>
      </c>
      <c r="D35" s="15">
        <v>6.3</v>
      </c>
      <c r="E35" s="15">
        <v>5.9055</v>
      </c>
      <c r="F35" s="15">
        <v>4.2755000000000001</v>
      </c>
      <c r="G35" s="4">
        <f t="shared" si="2"/>
        <v>0.39449999999999985</v>
      </c>
      <c r="H35" s="4">
        <f t="shared" si="1"/>
        <v>9.2269909952052351E-2</v>
      </c>
    </row>
    <row r="36" spans="1:8">
      <c r="A36" s="4" t="s">
        <v>56</v>
      </c>
      <c r="B36" s="15" t="s">
        <v>87</v>
      </c>
      <c r="C36" s="15">
        <v>1.63</v>
      </c>
      <c r="D36" s="15">
        <v>6.93</v>
      </c>
      <c r="E36" s="15">
        <v>5.4706999999999999</v>
      </c>
      <c r="F36" s="15">
        <v>3.8407</v>
      </c>
      <c r="G36" s="4">
        <f t="shared" si="2"/>
        <v>1.4592999999999998</v>
      </c>
      <c r="H36" s="4">
        <f t="shared" si="1"/>
        <v>0.37995677871221389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A2CF-12BA-403D-A7EF-8B2148707F7C}">
  <dimension ref="A1:G45"/>
  <sheetViews>
    <sheetView workbookViewId="0">
      <selection sqref="A1:G45"/>
    </sheetView>
  </sheetViews>
  <sheetFormatPr defaultRowHeight="15"/>
  <cols>
    <col min="1" max="1" width="14" style="5" customWidth="1"/>
    <col min="4" max="4" width="11.7109375" customWidth="1"/>
    <col min="5" max="5" width="16.85546875" customWidth="1"/>
  </cols>
  <sheetData>
    <row r="1" spans="1:7" ht="53.1" customHeight="1">
      <c r="A1" s="52" t="s">
        <v>1</v>
      </c>
      <c r="B1" s="52" t="s">
        <v>75</v>
      </c>
      <c r="C1" s="53" t="s">
        <v>76</v>
      </c>
      <c r="D1" s="53" t="s">
        <v>77</v>
      </c>
      <c r="E1" s="53" t="s">
        <v>109</v>
      </c>
      <c r="F1" s="42"/>
      <c r="G1" s="42"/>
    </row>
    <row r="2" spans="1:7">
      <c r="A2" s="51" t="s">
        <v>110</v>
      </c>
      <c r="B2" s="50" t="s">
        <v>111</v>
      </c>
      <c r="C2" s="50">
        <v>1.64</v>
      </c>
      <c r="D2" s="50">
        <v>2.44</v>
      </c>
      <c r="E2" s="50">
        <v>3.56</v>
      </c>
      <c r="F2" s="42"/>
      <c r="G2" s="42"/>
    </row>
    <row r="3" spans="1:7">
      <c r="A3" s="43" t="s">
        <v>112</v>
      </c>
      <c r="B3" s="44" t="s">
        <v>113</v>
      </c>
      <c r="C3" s="44">
        <v>1.63</v>
      </c>
      <c r="D3" s="44">
        <v>2.4900000000000002</v>
      </c>
      <c r="E3" s="44">
        <v>3.45</v>
      </c>
      <c r="F3" s="42"/>
      <c r="G3" s="42"/>
    </row>
    <row r="4" spans="1:7">
      <c r="A4" s="43" t="s">
        <v>114</v>
      </c>
      <c r="B4" s="44" t="s">
        <v>115</v>
      </c>
      <c r="C4" s="44">
        <v>1.61</v>
      </c>
      <c r="D4" s="44">
        <v>2.2999999999999998</v>
      </c>
      <c r="E4" s="44">
        <v>3.34</v>
      </c>
      <c r="F4" s="42"/>
      <c r="G4" s="42"/>
    </row>
    <row r="5" spans="1:7">
      <c r="A5" s="43" t="s">
        <v>116</v>
      </c>
      <c r="B5" s="44" t="s">
        <v>117</v>
      </c>
      <c r="C5" s="44">
        <v>1.62</v>
      </c>
      <c r="D5" s="44">
        <v>2.95</v>
      </c>
      <c r="E5" s="44">
        <v>3.99</v>
      </c>
      <c r="F5" s="42"/>
      <c r="G5" s="42"/>
    </row>
    <row r="6" spans="1:7">
      <c r="A6" s="43" t="s">
        <v>118</v>
      </c>
      <c r="B6" s="44" t="s">
        <v>119</v>
      </c>
      <c r="C6" s="44">
        <v>1.67</v>
      </c>
      <c r="D6" s="44">
        <v>2.75</v>
      </c>
      <c r="E6" s="44">
        <v>3.98</v>
      </c>
      <c r="F6" s="42"/>
      <c r="G6" s="42"/>
    </row>
    <row r="7" spans="1:7">
      <c r="A7" s="43" t="s">
        <v>120</v>
      </c>
      <c r="B7" s="44" t="s">
        <v>121</v>
      </c>
      <c r="C7" s="44">
        <v>1.66</v>
      </c>
      <c r="D7" s="44">
        <v>2.12</v>
      </c>
      <c r="E7" s="44">
        <v>3.23</v>
      </c>
      <c r="F7" s="42"/>
      <c r="G7" s="42"/>
    </row>
    <row r="8" spans="1:7">
      <c r="A8" s="43" t="s">
        <v>122</v>
      </c>
      <c r="B8" s="44" t="s">
        <v>123</v>
      </c>
      <c r="C8" s="44">
        <v>1.68</v>
      </c>
      <c r="D8" s="44">
        <v>2.68</v>
      </c>
      <c r="E8" s="44">
        <v>3.76</v>
      </c>
      <c r="F8" s="42"/>
      <c r="G8" s="42"/>
    </row>
    <row r="9" spans="1:7">
      <c r="A9" s="43" t="s">
        <v>124</v>
      </c>
      <c r="B9" s="44" t="s">
        <v>125</v>
      </c>
      <c r="C9" s="44">
        <v>1.63</v>
      </c>
      <c r="D9" s="44">
        <v>2.04</v>
      </c>
      <c r="E9" s="44">
        <v>3.31</v>
      </c>
      <c r="F9" s="42"/>
      <c r="G9" s="42"/>
    </row>
    <row r="10" spans="1:7">
      <c r="A10" s="43" t="s">
        <v>126</v>
      </c>
      <c r="B10" s="44" t="s">
        <v>127</v>
      </c>
      <c r="C10" s="44">
        <v>1.29</v>
      </c>
      <c r="D10" s="44">
        <v>2.57</v>
      </c>
      <c r="E10" s="44">
        <v>3.43</v>
      </c>
      <c r="F10" s="42"/>
      <c r="G10" s="42"/>
    </row>
    <row r="11" spans="1:7">
      <c r="A11" s="43" t="s">
        <v>128</v>
      </c>
      <c r="B11" s="44" t="s">
        <v>129</v>
      </c>
      <c r="C11" s="44">
        <v>1.29</v>
      </c>
      <c r="D11" s="44">
        <v>2.91</v>
      </c>
      <c r="E11" s="44">
        <v>3.79</v>
      </c>
      <c r="F11" s="42"/>
      <c r="G11" s="42"/>
    </row>
    <row r="12" spans="1:7">
      <c r="A12" s="43" t="s">
        <v>130</v>
      </c>
      <c r="B12" s="44" t="s">
        <v>131</v>
      </c>
      <c r="C12" s="44">
        <v>1.29</v>
      </c>
      <c r="D12" s="44">
        <v>2.21</v>
      </c>
      <c r="E12" s="44">
        <v>3</v>
      </c>
      <c r="F12" s="42"/>
      <c r="G12" s="42"/>
    </row>
    <row r="13" spans="1:7">
      <c r="A13" s="43" t="s">
        <v>132</v>
      </c>
      <c r="B13" s="44" t="s">
        <v>133</v>
      </c>
      <c r="C13" s="44">
        <v>1.29</v>
      </c>
      <c r="D13" s="44">
        <v>2.81</v>
      </c>
      <c r="E13" s="44">
        <v>3.48</v>
      </c>
      <c r="F13" s="42"/>
      <c r="G13" s="42"/>
    </row>
    <row r="14" spans="1:7">
      <c r="A14" s="54" t="s">
        <v>134</v>
      </c>
      <c r="B14" s="43" t="s">
        <v>135</v>
      </c>
      <c r="C14" s="44">
        <v>4.0999999999999996</v>
      </c>
      <c r="D14" s="44">
        <v>3.01</v>
      </c>
      <c r="E14" s="44">
        <v>1.9</v>
      </c>
      <c r="F14" s="42"/>
      <c r="G14" s="42"/>
    </row>
    <row r="15" spans="1:7">
      <c r="A15" s="54" t="s">
        <v>136</v>
      </c>
      <c r="B15" s="43" t="s">
        <v>137</v>
      </c>
      <c r="C15" s="44">
        <v>4.08</v>
      </c>
      <c r="D15" s="44">
        <v>3.04</v>
      </c>
      <c r="E15" s="44">
        <v>2.2999999999999998</v>
      </c>
      <c r="F15" s="42"/>
      <c r="G15" s="42"/>
    </row>
    <row r="16" spans="1:7">
      <c r="A16" s="54" t="s">
        <v>138</v>
      </c>
      <c r="B16" s="43" t="s">
        <v>139</v>
      </c>
      <c r="C16" s="44">
        <v>4.08</v>
      </c>
      <c r="D16" s="44">
        <v>3.05</v>
      </c>
      <c r="E16" s="44">
        <v>2.13</v>
      </c>
      <c r="F16" s="42"/>
      <c r="G16" s="42"/>
    </row>
    <row r="17" spans="1:7">
      <c r="A17" s="55" t="s">
        <v>140</v>
      </c>
      <c r="B17" s="43" t="s">
        <v>141</v>
      </c>
      <c r="C17" s="44">
        <v>4.12</v>
      </c>
      <c r="D17" s="44">
        <v>3.01</v>
      </c>
      <c r="E17" s="44">
        <v>2.39</v>
      </c>
      <c r="F17" s="42"/>
      <c r="G17" s="42"/>
    </row>
    <row r="18" spans="1:7">
      <c r="A18" s="56" t="s">
        <v>142</v>
      </c>
      <c r="B18" s="43">
        <v>1</v>
      </c>
      <c r="C18" s="44">
        <v>4.12</v>
      </c>
      <c r="D18" s="44">
        <v>3.01</v>
      </c>
      <c r="E18" s="44">
        <v>6.27</v>
      </c>
      <c r="F18" s="42"/>
      <c r="G18" s="42"/>
    </row>
    <row r="19" spans="1:7">
      <c r="A19" s="56" t="s">
        <v>143</v>
      </c>
      <c r="B19" s="43">
        <v>2</v>
      </c>
      <c r="C19" s="44">
        <v>4.12</v>
      </c>
      <c r="D19" s="44">
        <v>3</v>
      </c>
      <c r="E19" s="44">
        <v>6.55</v>
      </c>
      <c r="F19" s="42"/>
      <c r="G19" s="42"/>
    </row>
    <row r="20" spans="1:7">
      <c r="A20" s="56" t="s">
        <v>144</v>
      </c>
      <c r="B20" s="43">
        <v>3</v>
      </c>
      <c r="C20" s="44">
        <v>4.12</v>
      </c>
      <c r="D20" s="44">
        <v>3.15</v>
      </c>
      <c r="E20" s="44">
        <v>6.41</v>
      </c>
      <c r="F20" s="42"/>
      <c r="G20" s="42"/>
    </row>
    <row r="21" spans="1:7">
      <c r="A21" s="56" t="s">
        <v>145</v>
      </c>
      <c r="B21" s="43">
        <v>4</v>
      </c>
      <c r="C21" s="44">
        <v>4.0999999999999996</v>
      </c>
      <c r="D21" s="44">
        <v>3.51</v>
      </c>
      <c r="E21" s="44">
        <v>7.01</v>
      </c>
      <c r="F21" s="42"/>
      <c r="G21" s="42"/>
    </row>
    <row r="22" spans="1:7">
      <c r="A22" s="43" t="s">
        <v>146</v>
      </c>
      <c r="B22" s="44">
        <v>5</v>
      </c>
      <c r="C22" s="44">
        <v>4.0999999999999996</v>
      </c>
      <c r="D22" s="44">
        <v>3.04</v>
      </c>
      <c r="E22" s="44">
        <v>6.39</v>
      </c>
      <c r="F22" s="42"/>
      <c r="G22" s="42"/>
    </row>
    <row r="23" spans="1:7">
      <c r="A23" s="43" t="s">
        <v>147</v>
      </c>
      <c r="B23" s="44">
        <v>6</v>
      </c>
      <c r="C23" s="44">
        <v>4.0999999999999996</v>
      </c>
      <c r="D23" s="44">
        <v>3.02</v>
      </c>
      <c r="E23" s="44">
        <v>6.37</v>
      </c>
      <c r="F23" s="42"/>
      <c r="G23" s="42"/>
    </row>
    <row r="24" spans="1:7">
      <c r="A24" s="43" t="s">
        <v>148</v>
      </c>
      <c r="B24" s="44">
        <v>7</v>
      </c>
      <c r="C24" s="44">
        <v>4.1399999999999997</v>
      </c>
      <c r="D24" s="44">
        <v>3.07</v>
      </c>
      <c r="E24" s="44">
        <v>6.5</v>
      </c>
      <c r="F24" s="42"/>
      <c r="G24" s="42"/>
    </row>
    <row r="25" spans="1:7">
      <c r="A25" s="43" t="s">
        <v>149</v>
      </c>
      <c r="B25" s="44">
        <v>8</v>
      </c>
      <c r="C25" s="44">
        <v>4.0999999999999996</v>
      </c>
      <c r="D25" s="44">
        <v>3.09</v>
      </c>
      <c r="E25" s="44">
        <v>6.36</v>
      </c>
      <c r="F25" s="42"/>
      <c r="G25" s="42"/>
    </row>
    <row r="26" spans="1:7">
      <c r="A26" s="43" t="s">
        <v>150</v>
      </c>
      <c r="B26" s="44">
        <v>1</v>
      </c>
      <c r="C26" s="44">
        <v>4.1100000000000003</v>
      </c>
      <c r="D26" s="44">
        <v>3.27</v>
      </c>
      <c r="E26" s="44">
        <v>6.53</v>
      </c>
      <c r="F26" s="42"/>
      <c r="G26" s="42"/>
    </row>
    <row r="27" spans="1:7">
      <c r="A27" s="43" t="s">
        <v>151</v>
      </c>
      <c r="B27" s="44">
        <v>2</v>
      </c>
      <c r="C27" s="44">
        <v>4.1399999999999997</v>
      </c>
      <c r="D27" s="44">
        <v>3.21</v>
      </c>
      <c r="E27" s="44">
        <v>6.8</v>
      </c>
      <c r="F27" s="42"/>
      <c r="G27" s="42"/>
    </row>
    <row r="28" spans="1:7">
      <c r="A28" s="43" t="s">
        <v>152</v>
      </c>
      <c r="B28" s="44">
        <v>3</v>
      </c>
      <c r="C28" s="44">
        <v>4.1399999999999997</v>
      </c>
      <c r="D28" s="44">
        <v>3.23</v>
      </c>
      <c r="E28" s="44">
        <v>6.58</v>
      </c>
      <c r="F28" s="42"/>
      <c r="G28" s="42"/>
    </row>
    <row r="29" spans="1:7">
      <c r="A29" s="43" t="s">
        <v>153</v>
      </c>
      <c r="B29" s="44">
        <v>4</v>
      </c>
      <c r="C29" s="44">
        <v>4.0599999999999996</v>
      </c>
      <c r="D29" s="44">
        <v>3.27</v>
      </c>
      <c r="E29" s="44">
        <v>6.47</v>
      </c>
      <c r="F29" s="42"/>
      <c r="G29" s="42"/>
    </row>
    <row r="30" spans="1:7">
      <c r="A30" s="43" t="s">
        <v>154</v>
      </c>
      <c r="B30" s="44">
        <v>5</v>
      </c>
      <c r="C30" s="44">
        <v>4.0599999999999996</v>
      </c>
      <c r="D30" s="44">
        <v>3.26</v>
      </c>
      <c r="E30" s="44">
        <v>6.62</v>
      </c>
      <c r="F30" s="42"/>
      <c r="G30" s="42"/>
    </row>
    <row r="31" spans="1:7">
      <c r="A31" s="43" t="s">
        <v>155</v>
      </c>
      <c r="B31" s="44">
        <v>6</v>
      </c>
      <c r="C31" s="44">
        <v>4.0999999999999996</v>
      </c>
      <c r="D31" s="44">
        <v>3.16</v>
      </c>
      <c r="E31" s="44">
        <v>6.41</v>
      </c>
      <c r="F31" s="42"/>
      <c r="G31" s="42"/>
    </row>
    <row r="32" spans="1:7">
      <c r="A32" s="43" t="s">
        <v>156</v>
      </c>
      <c r="B32" s="44">
        <v>7</v>
      </c>
      <c r="C32" s="44">
        <v>4.1100000000000003</v>
      </c>
      <c r="D32" s="44">
        <v>3.31</v>
      </c>
      <c r="E32" s="44">
        <v>6.58</v>
      </c>
      <c r="F32" s="42"/>
      <c r="G32" s="42"/>
    </row>
    <row r="33" spans="1:7">
      <c r="A33" s="43" t="s">
        <v>157</v>
      </c>
      <c r="B33" s="44">
        <v>8</v>
      </c>
      <c r="C33" s="44">
        <v>4.08</v>
      </c>
      <c r="D33" s="44">
        <v>3.37</v>
      </c>
      <c r="E33" s="44">
        <v>6.84</v>
      </c>
      <c r="F33" s="42"/>
      <c r="G33" s="42"/>
    </row>
    <row r="34" spans="1:7">
      <c r="A34" s="43" t="s">
        <v>158</v>
      </c>
      <c r="B34" s="44">
        <v>1</v>
      </c>
      <c r="C34" s="44">
        <v>4.09</v>
      </c>
      <c r="D34" s="44">
        <v>3.03</v>
      </c>
      <c r="E34" s="44">
        <v>6.38</v>
      </c>
      <c r="F34" s="42"/>
      <c r="G34" s="42"/>
    </row>
    <row r="35" spans="1:7">
      <c r="A35" s="43" t="s">
        <v>159</v>
      </c>
      <c r="B35" s="44">
        <v>2</v>
      </c>
      <c r="C35" s="44">
        <v>4.12</v>
      </c>
      <c r="D35" s="44">
        <v>2.99</v>
      </c>
      <c r="E35" s="44">
        <v>6.37</v>
      </c>
      <c r="F35" s="42"/>
      <c r="G35" s="42"/>
    </row>
    <row r="36" spans="1:7">
      <c r="A36" s="43" t="s">
        <v>160</v>
      </c>
      <c r="B36" s="44">
        <v>3</v>
      </c>
      <c r="C36" s="44">
        <v>4.12</v>
      </c>
      <c r="D36" s="44">
        <v>3.01</v>
      </c>
      <c r="E36" s="44">
        <v>6.37</v>
      </c>
      <c r="F36" s="42"/>
      <c r="G36" s="42"/>
    </row>
    <row r="37" spans="1:7">
      <c r="A37" s="43" t="s">
        <v>161</v>
      </c>
      <c r="B37" s="44">
        <v>4</v>
      </c>
      <c r="C37" s="44">
        <v>4.12</v>
      </c>
      <c r="D37" s="44">
        <v>3.09</v>
      </c>
      <c r="E37" s="44">
        <v>6.29</v>
      </c>
      <c r="F37" s="42"/>
      <c r="G37" s="42"/>
    </row>
    <row r="38" spans="1:7">
      <c r="A38" s="42"/>
      <c r="B38" s="42"/>
      <c r="C38" s="42"/>
      <c r="D38" s="42"/>
      <c r="E38" s="42"/>
      <c r="F38" s="42"/>
      <c r="G38" s="42"/>
    </row>
    <row r="39" spans="1:7">
      <c r="A39" s="42"/>
      <c r="B39" s="42"/>
      <c r="C39" s="42"/>
      <c r="D39" s="42"/>
      <c r="E39" s="42"/>
      <c r="F39" s="42"/>
      <c r="G39" s="42"/>
    </row>
    <row r="40" spans="1:7">
      <c r="A40" s="42"/>
      <c r="B40" s="42"/>
      <c r="C40" s="42"/>
      <c r="D40" s="42"/>
      <c r="E40" s="42"/>
      <c r="F40" s="42"/>
      <c r="G40" s="42"/>
    </row>
    <row r="41" spans="1:7">
      <c r="A41" s="42"/>
      <c r="B41" s="42"/>
      <c r="C41" s="42"/>
      <c r="D41" s="42"/>
      <c r="E41" s="42"/>
      <c r="F41" s="42"/>
      <c r="G41" s="42"/>
    </row>
    <row r="42" spans="1:7">
      <c r="A42" s="42"/>
      <c r="B42" s="42"/>
      <c r="C42" s="42"/>
      <c r="D42" s="42"/>
      <c r="E42" s="42"/>
      <c r="F42" s="42"/>
      <c r="G42" s="42"/>
    </row>
    <row r="43" spans="1:7">
      <c r="A43" s="42"/>
      <c r="B43" s="42"/>
      <c r="C43" s="42"/>
      <c r="D43" s="42"/>
      <c r="E43" s="42"/>
      <c r="F43" s="42"/>
      <c r="G43" s="42"/>
    </row>
    <row r="44" spans="1:7">
      <c r="A44" s="42"/>
      <c r="B44" s="42"/>
      <c r="C44" s="42"/>
      <c r="D44" s="42"/>
      <c r="E44" s="42"/>
      <c r="F44" s="42"/>
      <c r="G44" s="42"/>
    </row>
    <row r="45" spans="1:7">
      <c r="A45" s="42"/>
      <c r="B45" s="42"/>
      <c r="C45" s="42"/>
      <c r="D45" s="42"/>
      <c r="E45" s="42"/>
      <c r="F45" s="42"/>
      <c r="G45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C7BC-B489-4524-8E05-F6B2C3AAC745}">
  <dimension ref="A1:M145"/>
  <sheetViews>
    <sheetView topLeftCell="A28" zoomScale="87" workbookViewId="0">
      <selection sqref="A1:M145"/>
    </sheetView>
  </sheetViews>
  <sheetFormatPr defaultRowHeight="15"/>
  <cols>
    <col min="2" max="2" width="14" customWidth="1"/>
  </cols>
  <sheetData>
    <row r="1" spans="1:13" ht="43.5">
      <c r="A1" s="38" t="s">
        <v>162</v>
      </c>
      <c r="B1" s="39" t="s">
        <v>163</v>
      </c>
      <c r="C1" s="40" t="s">
        <v>164</v>
      </c>
      <c r="D1" s="40" t="s">
        <v>165</v>
      </c>
      <c r="E1" s="39" t="s">
        <v>166</v>
      </c>
      <c r="F1" s="40" t="s">
        <v>167</v>
      </c>
      <c r="G1" s="40" t="s">
        <v>168</v>
      </c>
      <c r="H1" s="41" t="s">
        <v>169</v>
      </c>
      <c r="I1" s="42"/>
      <c r="J1" s="42"/>
      <c r="K1" s="42"/>
      <c r="L1" s="42"/>
      <c r="M1" s="42"/>
    </row>
    <row r="2" spans="1:13">
      <c r="A2" s="43">
        <v>4</v>
      </c>
      <c r="B2" s="44" t="s">
        <v>114</v>
      </c>
      <c r="C2" s="44">
        <v>24.97</v>
      </c>
      <c r="D2" s="44">
        <v>1</v>
      </c>
      <c r="E2" s="42" t="s">
        <v>170</v>
      </c>
      <c r="F2" s="43">
        <v>268.31</v>
      </c>
      <c r="G2" s="44">
        <v>260.89</v>
      </c>
      <c r="H2" s="42">
        <v>7.42</v>
      </c>
      <c r="I2" s="42"/>
      <c r="J2" s="42"/>
      <c r="K2" s="42"/>
      <c r="L2" s="42"/>
      <c r="M2" s="42"/>
    </row>
    <row r="3" spans="1:13">
      <c r="A3" s="43" t="s">
        <v>162</v>
      </c>
      <c r="B3" s="44" t="s">
        <v>162</v>
      </c>
      <c r="C3" s="44" t="s">
        <v>162</v>
      </c>
      <c r="D3" s="44">
        <v>2</v>
      </c>
      <c r="E3" s="42" t="s">
        <v>171</v>
      </c>
      <c r="F3" s="43">
        <v>271.58</v>
      </c>
      <c r="G3" s="44">
        <v>263.45999999999998</v>
      </c>
      <c r="H3" s="42">
        <v>8.1199999999999992</v>
      </c>
      <c r="I3" s="42"/>
      <c r="J3" s="42"/>
      <c r="K3" s="42"/>
      <c r="L3" s="42"/>
      <c r="M3" s="42"/>
    </row>
    <row r="4" spans="1:13">
      <c r="A4" s="43" t="s">
        <v>162</v>
      </c>
      <c r="B4" s="44" t="s">
        <v>162</v>
      </c>
      <c r="C4" s="44" t="s">
        <v>162</v>
      </c>
      <c r="D4" s="44">
        <v>3</v>
      </c>
      <c r="E4" s="42" t="s">
        <v>172</v>
      </c>
      <c r="F4" s="43">
        <v>284.16000000000003</v>
      </c>
      <c r="G4" s="44">
        <v>283.14999999999998</v>
      </c>
      <c r="H4" s="42">
        <v>1.01</v>
      </c>
      <c r="I4" s="42"/>
      <c r="J4" s="42"/>
      <c r="K4" s="42"/>
      <c r="L4" s="42"/>
      <c r="M4" s="42"/>
    </row>
    <row r="5" spans="1:13">
      <c r="A5" s="45" t="s">
        <v>162</v>
      </c>
      <c r="B5" s="46" t="s">
        <v>162</v>
      </c>
      <c r="C5" s="46" t="s">
        <v>162</v>
      </c>
      <c r="D5" s="46">
        <v>4</v>
      </c>
      <c r="E5" s="47" t="s">
        <v>173</v>
      </c>
      <c r="F5" s="45">
        <v>274.52999999999997</v>
      </c>
      <c r="G5" s="46">
        <v>274.05</v>
      </c>
      <c r="H5" s="42">
        <v>0.48</v>
      </c>
      <c r="I5" s="42"/>
      <c r="J5" s="42"/>
      <c r="K5" s="42"/>
      <c r="L5" s="42"/>
      <c r="M5" s="42"/>
    </row>
    <row r="6" spans="1:13">
      <c r="A6" s="43">
        <v>1</v>
      </c>
      <c r="B6" s="44" t="s">
        <v>126</v>
      </c>
      <c r="C6" s="44">
        <v>25.01</v>
      </c>
      <c r="D6" s="44">
        <v>5</v>
      </c>
      <c r="E6" s="42" t="s">
        <v>170</v>
      </c>
      <c r="F6" s="43">
        <v>278.87</v>
      </c>
      <c r="G6" s="44">
        <v>262.07</v>
      </c>
      <c r="H6" s="42">
        <v>16.8</v>
      </c>
      <c r="I6" s="42"/>
      <c r="J6" s="42"/>
      <c r="K6" s="42"/>
      <c r="L6" s="42"/>
      <c r="M6" s="42"/>
    </row>
    <row r="7" spans="1:13">
      <c r="A7" s="43" t="s">
        <v>162</v>
      </c>
      <c r="B7" s="44" t="s">
        <v>162</v>
      </c>
      <c r="C7" s="44" t="s">
        <v>162</v>
      </c>
      <c r="D7" s="44">
        <v>6</v>
      </c>
      <c r="E7" s="42" t="s">
        <v>171</v>
      </c>
      <c r="F7" s="43">
        <v>288.39999999999998</v>
      </c>
      <c r="G7" s="44">
        <v>285.92</v>
      </c>
      <c r="H7" s="42">
        <v>2.48</v>
      </c>
      <c r="I7" s="42"/>
      <c r="J7" s="42"/>
      <c r="K7" s="42"/>
      <c r="L7" s="42"/>
      <c r="M7" s="42"/>
    </row>
    <row r="8" spans="1:13">
      <c r="A8" s="43" t="s">
        <v>162</v>
      </c>
      <c r="B8" s="44" t="s">
        <v>162</v>
      </c>
      <c r="C8" s="44" t="s">
        <v>162</v>
      </c>
      <c r="D8" s="44">
        <v>7</v>
      </c>
      <c r="E8" s="42" t="s">
        <v>172</v>
      </c>
      <c r="F8" s="43">
        <v>285.95</v>
      </c>
      <c r="G8" s="44">
        <v>285.79000000000002</v>
      </c>
      <c r="H8" s="42">
        <v>0.16</v>
      </c>
      <c r="I8" s="42"/>
      <c r="J8" s="42"/>
      <c r="K8" s="42"/>
      <c r="L8" s="42"/>
      <c r="M8" s="42"/>
    </row>
    <row r="9" spans="1:13">
      <c r="A9" s="45" t="s">
        <v>162</v>
      </c>
      <c r="B9" s="46" t="s">
        <v>162</v>
      </c>
      <c r="C9" s="46" t="s">
        <v>162</v>
      </c>
      <c r="D9" s="46">
        <v>8</v>
      </c>
      <c r="E9" s="47" t="s">
        <v>173</v>
      </c>
      <c r="F9" s="45">
        <v>284.8</v>
      </c>
      <c r="G9" s="46">
        <v>284.73</v>
      </c>
      <c r="H9" s="42">
        <v>7.0000000000000007E-2</v>
      </c>
      <c r="I9" s="42"/>
      <c r="J9" s="42"/>
      <c r="K9" s="42"/>
      <c r="L9" s="42"/>
      <c r="M9" s="42"/>
    </row>
    <row r="10" spans="1:13">
      <c r="A10" s="43">
        <v>2</v>
      </c>
      <c r="B10" s="44" t="s">
        <v>128</v>
      </c>
      <c r="C10" s="44">
        <v>25.04</v>
      </c>
      <c r="D10" s="44">
        <v>9</v>
      </c>
      <c r="E10" s="42" t="s">
        <v>170</v>
      </c>
      <c r="F10" s="43">
        <v>288.18</v>
      </c>
      <c r="G10" s="44">
        <v>275.23</v>
      </c>
      <c r="H10" s="42">
        <v>12.95</v>
      </c>
      <c r="I10" s="42"/>
      <c r="J10" s="42"/>
      <c r="K10" s="42"/>
      <c r="L10" s="42"/>
      <c r="M10" s="42"/>
    </row>
    <row r="11" spans="1:13">
      <c r="A11" s="43" t="s">
        <v>162</v>
      </c>
      <c r="B11" s="44" t="s">
        <v>162</v>
      </c>
      <c r="C11" s="44" t="s">
        <v>162</v>
      </c>
      <c r="D11" s="44">
        <v>10</v>
      </c>
      <c r="E11" s="42" t="s">
        <v>171</v>
      </c>
      <c r="F11" s="43">
        <v>276.60000000000002</v>
      </c>
      <c r="G11" s="44">
        <v>274.54000000000002</v>
      </c>
      <c r="H11" s="42">
        <v>2.06</v>
      </c>
      <c r="I11" s="42"/>
      <c r="J11" s="42"/>
      <c r="K11" s="42"/>
      <c r="L11" s="42"/>
      <c r="M11" s="42"/>
    </row>
    <row r="12" spans="1:13">
      <c r="A12" s="43" t="s">
        <v>162</v>
      </c>
      <c r="B12" s="44" t="s">
        <v>162</v>
      </c>
      <c r="C12" s="44" t="s">
        <v>162</v>
      </c>
      <c r="D12" s="44">
        <v>11</v>
      </c>
      <c r="E12" s="42" t="s">
        <v>172</v>
      </c>
      <c r="F12" s="43">
        <v>264.10000000000002</v>
      </c>
      <c r="G12" s="44">
        <v>260.77</v>
      </c>
      <c r="H12" s="42">
        <v>3.33</v>
      </c>
      <c r="I12" s="42"/>
      <c r="J12" s="42"/>
      <c r="K12" s="42"/>
      <c r="L12" s="42"/>
      <c r="M12" s="42"/>
    </row>
    <row r="13" spans="1:13">
      <c r="A13" s="45" t="s">
        <v>162</v>
      </c>
      <c r="B13" s="46" t="s">
        <v>162</v>
      </c>
      <c r="C13" s="46" t="s">
        <v>162</v>
      </c>
      <c r="D13" s="46">
        <v>12</v>
      </c>
      <c r="E13" s="47" t="s">
        <v>173</v>
      </c>
      <c r="F13" s="45">
        <v>273.07</v>
      </c>
      <c r="G13" s="46">
        <v>273.07</v>
      </c>
      <c r="H13" s="42">
        <v>0</v>
      </c>
      <c r="I13" s="42"/>
      <c r="J13" s="42"/>
      <c r="K13" s="42"/>
      <c r="L13" s="42"/>
      <c r="M13" s="42"/>
    </row>
    <row r="14" spans="1:13">
      <c r="A14" s="43">
        <v>3</v>
      </c>
      <c r="B14" s="44" t="s">
        <v>130</v>
      </c>
      <c r="C14" s="44">
        <v>25.16</v>
      </c>
      <c r="D14" s="44">
        <v>13</v>
      </c>
      <c r="E14" s="42" t="s">
        <v>170</v>
      </c>
      <c r="F14" s="43">
        <v>291.08999999999997</v>
      </c>
      <c r="G14" s="44">
        <v>284.06</v>
      </c>
      <c r="H14" s="42">
        <v>7.03</v>
      </c>
      <c r="I14" s="42"/>
      <c r="J14" s="42"/>
      <c r="K14" s="42"/>
      <c r="L14" s="42"/>
      <c r="M14" s="42"/>
    </row>
    <row r="15" spans="1:13">
      <c r="A15" s="43" t="s">
        <v>162</v>
      </c>
      <c r="B15" s="44" t="s">
        <v>162</v>
      </c>
      <c r="C15" s="44" t="s">
        <v>162</v>
      </c>
      <c r="D15" s="44">
        <v>14</v>
      </c>
      <c r="E15" s="42" t="s">
        <v>171</v>
      </c>
      <c r="F15" s="43">
        <v>283.43</v>
      </c>
      <c r="G15" s="44">
        <v>273.66000000000003</v>
      </c>
      <c r="H15" s="42">
        <v>9.77</v>
      </c>
      <c r="I15" s="42"/>
      <c r="J15" s="42"/>
      <c r="K15" s="42"/>
      <c r="L15" s="42"/>
      <c r="M15" s="42"/>
    </row>
    <row r="16" spans="1:13">
      <c r="A16" s="48" t="s">
        <v>162</v>
      </c>
      <c r="B16" s="49" t="s">
        <v>162</v>
      </c>
      <c r="C16" s="49" t="s">
        <v>162</v>
      </c>
      <c r="D16" s="49">
        <v>15</v>
      </c>
      <c r="E16" s="42" t="s">
        <v>172</v>
      </c>
      <c r="F16" s="48">
        <v>286.69</v>
      </c>
      <c r="G16" s="49">
        <v>285.81</v>
      </c>
      <c r="H16" s="42">
        <v>0.88</v>
      </c>
      <c r="I16" s="42"/>
      <c r="J16" s="42"/>
      <c r="K16" s="42"/>
      <c r="L16" s="42"/>
      <c r="M16" s="42"/>
    </row>
    <row r="17" spans="1:13">
      <c r="A17" s="38" t="s">
        <v>162</v>
      </c>
      <c r="B17" s="39" t="s">
        <v>162</v>
      </c>
      <c r="C17" s="39" t="s">
        <v>162</v>
      </c>
      <c r="D17" s="39">
        <v>16</v>
      </c>
      <c r="E17" s="39" t="s">
        <v>173</v>
      </c>
      <c r="F17" s="39">
        <v>275.5</v>
      </c>
      <c r="G17" s="39">
        <v>275.18</v>
      </c>
      <c r="H17" s="42">
        <v>0.32</v>
      </c>
      <c r="I17" s="42"/>
      <c r="J17" s="42"/>
      <c r="K17" s="42"/>
      <c r="L17" s="42"/>
      <c r="M17" s="42"/>
    </row>
    <row r="18" spans="1:13">
      <c r="A18" s="43">
        <v>5</v>
      </c>
      <c r="B18" s="44" t="s">
        <v>110</v>
      </c>
      <c r="C18" s="44">
        <v>25.05</v>
      </c>
      <c r="D18" s="44">
        <v>1</v>
      </c>
      <c r="E18" s="44" t="s">
        <v>170</v>
      </c>
      <c r="F18" s="44">
        <v>276.54000000000002</v>
      </c>
      <c r="G18" s="44">
        <v>260.82</v>
      </c>
      <c r="H18" s="42">
        <v>15.72</v>
      </c>
      <c r="I18" s="42"/>
      <c r="J18" s="42"/>
      <c r="K18" s="42"/>
      <c r="L18" s="42"/>
      <c r="M18" s="42"/>
    </row>
    <row r="19" spans="1:13">
      <c r="A19" s="43" t="s">
        <v>162</v>
      </c>
      <c r="B19" s="44" t="s">
        <v>162</v>
      </c>
      <c r="C19" s="44" t="s">
        <v>162</v>
      </c>
      <c r="D19" s="44">
        <v>2</v>
      </c>
      <c r="E19" s="44" t="s">
        <v>171</v>
      </c>
      <c r="F19" s="44">
        <v>265.62</v>
      </c>
      <c r="G19" s="44">
        <v>262.18</v>
      </c>
      <c r="H19" s="42">
        <v>3.44</v>
      </c>
      <c r="I19" s="42"/>
      <c r="J19" s="42"/>
      <c r="K19" s="42"/>
      <c r="L19" s="42"/>
      <c r="M19" s="42"/>
    </row>
    <row r="20" spans="1:13">
      <c r="A20" s="43" t="s">
        <v>162</v>
      </c>
      <c r="B20" s="44" t="s">
        <v>162</v>
      </c>
      <c r="C20" s="44" t="s">
        <v>162</v>
      </c>
      <c r="D20" s="44">
        <v>3</v>
      </c>
      <c r="E20" s="44" t="s">
        <v>172</v>
      </c>
      <c r="F20" s="44">
        <v>273.60000000000002</v>
      </c>
      <c r="G20" s="44">
        <v>273.52999999999997</v>
      </c>
      <c r="H20" s="42">
        <v>7.0000000000000007E-2</v>
      </c>
      <c r="I20" s="42"/>
      <c r="J20" s="42"/>
      <c r="K20" s="42"/>
      <c r="L20" s="42"/>
      <c r="M20" s="42"/>
    </row>
    <row r="21" spans="1:13">
      <c r="A21" s="45" t="s">
        <v>162</v>
      </c>
      <c r="B21" s="46" t="s">
        <v>162</v>
      </c>
      <c r="C21" s="46" t="s">
        <v>162</v>
      </c>
      <c r="D21" s="46">
        <v>4</v>
      </c>
      <c r="E21" s="47" t="s">
        <v>173</v>
      </c>
      <c r="F21" s="45">
        <v>273.93</v>
      </c>
      <c r="G21" s="46">
        <v>273.89999999999998</v>
      </c>
      <c r="H21" s="42">
        <v>0.03</v>
      </c>
      <c r="I21" s="42"/>
      <c r="J21" s="42"/>
      <c r="K21" s="42"/>
      <c r="L21" s="42"/>
      <c r="M21" s="42"/>
    </row>
    <row r="22" spans="1:13">
      <c r="A22" s="43">
        <v>6</v>
      </c>
      <c r="B22" s="44" t="s">
        <v>112</v>
      </c>
      <c r="C22" s="44">
        <v>25.05</v>
      </c>
      <c r="D22" s="44">
        <v>5</v>
      </c>
      <c r="E22" s="42" t="s">
        <v>170</v>
      </c>
      <c r="F22" s="43">
        <v>274.05</v>
      </c>
      <c r="G22" s="44">
        <v>262.10000000000002</v>
      </c>
      <c r="H22" s="42">
        <v>11.95</v>
      </c>
      <c r="I22" s="42"/>
      <c r="J22" s="42"/>
      <c r="K22" s="42"/>
      <c r="L22" s="42"/>
      <c r="M22" s="42"/>
    </row>
    <row r="23" spans="1:13">
      <c r="A23" s="43" t="s">
        <v>162</v>
      </c>
      <c r="B23" s="44" t="s">
        <v>162</v>
      </c>
      <c r="C23" s="44" t="s">
        <v>162</v>
      </c>
      <c r="D23" s="44">
        <v>6</v>
      </c>
      <c r="E23" s="42" t="s">
        <v>171</v>
      </c>
      <c r="F23" s="43">
        <v>290.56</v>
      </c>
      <c r="G23" s="44">
        <v>285.99</v>
      </c>
      <c r="H23" s="42">
        <v>4.57</v>
      </c>
      <c r="I23" s="42"/>
      <c r="J23" s="42"/>
      <c r="K23" s="42"/>
      <c r="L23" s="42"/>
      <c r="M23" s="42"/>
    </row>
    <row r="24" spans="1:13">
      <c r="A24" s="43" t="s">
        <v>162</v>
      </c>
      <c r="B24" s="44" t="s">
        <v>162</v>
      </c>
      <c r="C24" s="44" t="s">
        <v>162</v>
      </c>
      <c r="D24" s="44">
        <v>7</v>
      </c>
      <c r="E24" s="42" t="s">
        <v>172</v>
      </c>
      <c r="F24" s="43">
        <v>286.2</v>
      </c>
      <c r="G24" s="44">
        <v>286.02</v>
      </c>
      <c r="H24" s="42">
        <v>0.18</v>
      </c>
      <c r="I24" s="42"/>
      <c r="J24" s="42"/>
      <c r="K24" s="42"/>
      <c r="L24" s="42"/>
      <c r="M24" s="42"/>
    </row>
    <row r="25" spans="1:13">
      <c r="A25" s="45" t="s">
        <v>162</v>
      </c>
      <c r="B25" s="46" t="s">
        <v>162</v>
      </c>
      <c r="C25" s="46" t="s">
        <v>162</v>
      </c>
      <c r="D25" s="46">
        <v>8</v>
      </c>
      <c r="E25" s="47" t="s">
        <v>173</v>
      </c>
      <c r="F25" s="45">
        <v>284.87</v>
      </c>
      <c r="G25" s="46">
        <v>284.83999999999997</v>
      </c>
      <c r="H25" s="42">
        <v>0.03</v>
      </c>
      <c r="I25" s="42"/>
      <c r="J25" s="42"/>
      <c r="K25" s="42"/>
      <c r="L25" s="42"/>
      <c r="M25" s="42"/>
    </row>
    <row r="26" spans="1:13">
      <c r="A26" s="43">
        <v>7</v>
      </c>
      <c r="B26" s="44" t="s">
        <v>116</v>
      </c>
      <c r="C26" s="44">
        <v>25</v>
      </c>
      <c r="D26" s="44">
        <v>9</v>
      </c>
      <c r="E26" s="42" t="s">
        <v>170</v>
      </c>
      <c r="F26" s="43">
        <v>285.97000000000003</v>
      </c>
      <c r="G26" s="44">
        <v>275.52</v>
      </c>
      <c r="H26" s="42">
        <v>10.45</v>
      </c>
      <c r="I26" s="42"/>
      <c r="J26" s="42"/>
      <c r="K26" s="42"/>
      <c r="L26" s="42"/>
      <c r="M26" s="42"/>
    </row>
    <row r="27" spans="1:13">
      <c r="A27" s="43" t="s">
        <v>162</v>
      </c>
      <c r="B27" s="44" t="s">
        <v>162</v>
      </c>
      <c r="C27" s="44" t="s">
        <v>162</v>
      </c>
      <c r="D27" s="44">
        <v>10</v>
      </c>
      <c r="E27" s="42" t="s">
        <v>171</v>
      </c>
      <c r="F27" s="43">
        <v>280.13</v>
      </c>
      <c r="G27" s="44">
        <v>275.08999999999997</v>
      </c>
      <c r="H27" s="42">
        <v>5.04</v>
      </c>
      <c r="I27" s="42"/>
      <c r="J27" s="42"/>
      <c r="K27" s="42"/>
      <c r="L27" s="42"/>
      <c r="M27" s="42"/>
    </row>
    <row r="28" spans="1:13">
      <c r="A28" s="43" t="s">
        <v>162</v>
      </c>
      <c r="B28" s="44" t="s">
        <v>162</v>
      </c>
      <c r="C28" s="44" t="s">
        <v>162</v>
      </c>
      <c r="D28" s="44">
        <v>11</v>
      </c>
      <c r="E28" s="42" t="s">
        <v>172</v>
      </c>
      <c r="F28" s="43">
        <v>261.04000000000002</v>
      </c>
      <c r="G28" s="44">
        <v>260.69</v>
      </c>
      <c r="H28" s="42">
        <v>0.35</v>
      </c>
      <c r="I28" s="42"/>
      <c r="J28" s="42"/>
      <c r="K28" s="42"/>
      <c r="L28" s="42"/>
      <c r="M28" s="42"/>
    </row>
    <row r="29" spans="1:13">
      <c r="A29" s="45" t="s">
        <v>162</v>
      </c>
      <c r="B29" s="46" t="s">
        <v>162</v>
      </c>
      <c r="C29" s="46" t="s">
        <v>162</v>
      </c>
      <c r="D29" s="46">
        <v>12</v>
      </c>
      <c r="E29" s="47" t="s">
        <v>173</v>
      </c>
      <c r="F29" s="45">
        <v>273.27999999999997</v>
      </c>
      <c r="G29" s="46">
        <v>273.2</v>
      </c>
      <c r="H29" s="42">
        <v>0.08</v>
      </c>
      <c r="I29" s="42"/>
      <c r="J29" s="42"/>
      <c r="K29" s="42"/>
      <c r="L29" s="42"/>
      <c r="M29" s="42"/>
    </row>
    <row r="30" spans="1:13">
      <c r="A30" s="43">
        <v>8</v>
      </c>
      <c r="B30" s="44" t="s">
        <v>114</v>
      </c>
      <c r="C30" s="44">
        <v>25.01</v>
      </c>
      <c r="D30" s="44">
        <v>13</v>
      </c>
      <c r="E30" s="42" t="s">
        <v>170</v>
      </c>
      <c r="F30" s="43">
        <v>298.38</v>
      </c>
      <c r="G30" s="44">
        <v>284.08</v>
      </c>
      <c r="H30" s="42">
        <v>14.3</v>
      </c>
      <c r="I30" s="42"/>
      <c r="J30" s="42"/>
      <c r="K30" s="42"/>
      <c r="L30" s="42"/>
      <c r="M30" s="42"/>
    </row>
    <row r="31" spans="1:13">
      <c r="A31" s="43" t="s">
        <v>162</v>
      </c>
      <c r="B31" s="44" t="s">
        <v>162</v>
      </c>
      <c r="C31" s="44" t="s">
        <v>162</v>
      </c>
      <c r="D31" s="44">
        <v>14</v>
      </c>
      <c r="E31" s="42" t="s">
        <v>171</v>
      </c>
      <c r="F31" s="43">
        <v>276.89</v>
      </c>
      <c r="G31" s="44">
        <v>273.73</v>
      </c>
      <c r="H31" s="42">
        <v>3.16</v>
      </c>
      <c r="I31" s="42"/>
      <c r="J31" s="42"/>
      <c r="K31" s="42"/>
      <c r="L31" s="42"/>
      <c r="M31" s="42"/>
    </row>
    <row r="32" spans="1:13">
      <c r="A32" s="43" t="s">
        <v>162</v>
      </c>
      <c r="B32" s="44" t="s">
        <v>162</v>
      </c>
      <c r="C32" s="44" t="s">
        <v>162</v>
      </c>
      <c r="D32" s="44">
        <v>15</v>
      </c>
      <c r="E32" s="42" t="s">
        <v>172</v>
      </c>
      <c r="F32" s="43">
        <v>285.95999999999998</v>
      </c>
      <c r="G32" s="44">
        <v>285.93</v>
      </c>
      <c r="H32" s="42">
        <v>0.03</v>
      </c>
      <c r="I32" s="42"/>
      <c r="J32" s="42"/>
      <c r="K32" s="42"/>
      <c r="L32" s="42"/>
      <c r="M32" s="42"/>
    </row>
    <row r="33" spans="1:13">
      <c r="A33" s="43" t="s">
        <v>162</v>
      </c>
      <c r="B33" s="44" t="s">
        <v>162</v>
      </c>
      <c r="C33" s="44" t="s">
        <v>162</v>
      </c>
      <c r="D33" s="44">
        <v>16</v>
      </c>
      <c r="E33" s="47" t="s">
        <v>173</v>
      </c>
      <c r="F33" s="45">
        <v>275.10000000000002</v>
      </c>
      <c r="G33" s="46">
        <v>275.11</v>
      </c>
      <c r="H33" s="42">
        <v>-0.01</v>
      </c>
      <c r="I33" s="42"/>
      <c r="J33" s="42"/>
      <c r="K33" s="42"/>
      <c r="L33" s="42"/>
      <c r="M33" s="42"/>
    </row>
    <row r="34" spans="1:13">
      <c r="A34" s="43">
        <v>9</v>
      </c>
      <c r="B34" s="42" t="s">
        <v>124</v>
      </c>
      <c r="C34" s="43">
        <v>24.94</v>
      </c>
      <c r="D34" s="44">
        <v>1</v>
      </c>
      <c r="E34" s="44" t="s">
        <v>170</v>
      </c>
      <c r="F34" s="44">
        <v>274.48</v>
      </c>
      <c r="G34" s="44">
        <v>260.81</v>
      </c>
      <c r="H34" s="42">
        <v>13.67</v>
      </c>
      <c r="I34" s="42"/>
      <c r="J34" s="42"/>
      <c r="K34" s="42"/>
      <c r="L34" s="42"/>
      <c r="M34" s="42"/>
    </row>
    <row r="35" spans="1:13">
      <c r="A35" s="43" t="s">
        <v>162</v>
      </c>
      <c r="B35" s="50" t="s">
        <v>162</v>
      </c>
      <c r="C35" s="44" t="s">
        <v>162</v>
      </c>
      <c r="D35" s="44">
        <v>2</v>
      </c>
      <c r="E35" s="44" t="s">
        <v>171</v>
      </c>
      <c r="F35" s="44">
        <v>266.25</v>
      </c>
      <c r="G35" s="44">
        <v>260.95999999999998</v>
      </c>
      <c r="H35" s="42">
        <v>5.29</v>
      </c>
      <c r="I35" s="42"/>
      <c r="J35" s="42"/>
      <c r="K35" s="42"/>
      <c r="L35" s="42"/>
      <c r="M35" s="42"/>
    </row>
    <row r="36" spans="1:13">
      <c r="A36" s="43" t="s">
        <v>162</v>
      </c>
      <c r="B36" s="44" t="s">
        <v>162</v>
      </c>
      <c r="C36" s="44" t="s">
        <v>162</v>
      </c>
      <c r="D36" s="44">
        <v>3</v>
      </c>
      <c r="E36" s="44" t="s">
        <v>172</v>
      </c>
      <c r="F36" s="44">
        <v>273.94</v>
      </c>
      <c r="G36" s="44">
        <v>273.64</v>
      </c>
      <c r="H36" s="42">
        <v>0.3</v>
      </c>
      <c r="I36" s="42"/>
      <c r="J36" s="42"/>
      <c r="K36" s="42"/>
      <c r="L36" s="42"/>
      <c r="M36" s="42"/>
    </row>
    <row r="37" spans="1:13">
      <c r="A37" s="45" t="s">
        <v>162</v>
      </c>
      <c r="B37" s="46" t="s">
        <v>162</v>
      </c>
      <c r="C37" s="46" t="s">
        <v>162</v>
      </c>
      <c r="D37" s="46">
        <v>4</v>
      </c>
      <c r="E37" s="47" t="s">
        <v>173</v>
      </c>
      <c r="F37" s="45">
        <v>274.13</v>
      </c>
      <c r="G37" s="46">
        <v>273.97000000000003</v>
      </c>
      <c r="H37" s="42">
        <v>0.16</v>
      </c>
      <c r="I37" s="42"/>
      <c r="J37" s="42"/>
      <c r="K37" s="42"/>
      <c r="L37" s="42"/>
      <c r="M37" s="42"/>
    </row>
    <row r="38" spans="1:13">
      <c r="A38" s="43">
        <v>10</v>
      </c>
      <c r="B38" s="42" t="s">
        <v>122</v>
      </c>
      <c r="C38" s="43">
        <v>25.39</v>
      </c>
      <c r="D38" s="44">
        <v>5</v>
      </c>
      <c r="E38" s="42" t="s">
        <v>170</v>
      </c>
      <c r="F38" s="43">
        <v>275.54000000000002</v>
      </c>
      <c r="G38" s="44">
        <v>261.97000000000003</v>
      </c>
      <c r="H38" s="42">
        <v>13.57</v>
      </c>
      <c r="I38" s="42"/>
      <c r="J38" s="42"/>
      <c r="K38" s="42"/>
      <c r="L38" s="42"/>
      <c r="M38" s="42"/>
    </row>
    <row r="39" spans="1:13">
      <c r="A39" s="43" t="s">
        <v>162</v>
      </c>
      <c r="B39" s="50" t="s">
        <v>162</v>
      </c>
      <c r="C39" s="44" t="s">
        <v>162</v>
      </c>
      <c r="D39" s="44">
        <v>6</v>
      </c>
      <c r="E39" s="42" t="s">
        <v>171</v>
      </c>
      <c r="F39" s="43">
        <v>290.31</v>
      </c>
      <c r="G39" s="44">
        <v>286.12</v>
      </c>
      <c r="H39" s="42">
        <v>4.1900000000000004</v>
      </c>
      <c r="I39" s="42"/>
      <c r="J39" s="42"/>
      <c r="K39" s="42"/>
      <c r="L39" s="42"/>
      <c r="M39" s="42"/>
    </row>
    <row r="40" spans="1:13">
      <c r="A40" s="43" t="s">
        <v>162</v>
      </c>
      <c r="B40" s="44" t="s">
        <v>162</v>
      </c>
      <c r="C40" s="44" t="s">
        <v>162</v>
      </c>
      <c r="D40" s="44">
        <v>7</v>
      </c>
      <c r="E40" s="42" t="s">
        <v>172</v>
      </c>
      <c r="F40" s="43">
        <v>286.02</v>
      </c>
      <c r="G40" s="44">
        <v>285.83</v>
      </c>
      <c r="H40" s="42">
        <v>0.19</v>
      </c>
      <c r="I40" s="42"/>
      <c r="J40" s="42"/>
      <c r="K40" s="42"/>
      <c r="L40" s="42"/>
      <c r="M40" s="42"/>
    </row>
    <row r="41" spans="1:13">
      <c r="A41" s="45" t="s">
        <v>162</v>
      </c>
      <c r="B41" s="46" t="s">
        <v>162</v>
      </c>
      <c r="C41" s="46" t="s">
        <v>162</v>
      </c>
      <c r="D41" s="46">
        <v>8</v>
      </c>
      <c r="E41" s="47" t="s">
        <v>173</v>
      </c>
      <c r="F41" s="45">
        <v>284.83999999999997</v>
      </c>
      <c r="G41" s="46">
        <v>284.75</v>
      </c>
      <c r="H41" s="42">
        <v>0.09</v>
      </c>
      <c r="I41" s="42"/>
      <c r="J41" s="42"/>
      <c r="K41" s="42"/>
      <c r="L41" s="42"/>
      <c r="M41" s="42"/>
    </row>
    <row r="42" spans="1:13">
      <c r="A42" s="43">
        <v>11</v>
      </c>
      <c r="B42" s="42" t="s">
        <v>118</v>
      </c>
      <c r="C42" s="43">
        <v>25.13</v>
      </c>
      <c r="D42" s="44">
        <v>9</v>
      </c>
      <c r="E42" s="42" t="s">
        <v>170</v>
      </c>
      <c r="F42" s="43">
        <v>276.79000000000002</v>
      </c>
      <c r="G42" s="44">
        <v>275.31</v>
      </c>
      <c r="H42" s="42">
        <v>1.48</v>
      </c>
      <c r="I42" s="42"/>
      <c r="J42" s="42"/>
      <c r="K42" s="42"/>
      <c r="L42" s="42"/>
      <c r="M42" s="42"/>
    </row>
    <row r="43" spans="1:13">
      <c r="A43" s="43" t="s">
        <v>162</v>
      </c>
      <c r="B43" s="50" t="s">
        <v>162</v>
      </c>
      <c r="C43" s="44" t="s">
        <v>162</v>
      </c>
      <c r="D43" s="44">
        <v>10</v>
      </c>
      <c r="E43" s="42" t="s">
        <v>171</v>
      </c>
      <c r="F43" s="43">
        <v>285.44</v>
      </c>
      <c r="G43" s="44">
        <v>276.16000000000003</v>
      </c>
      <c r="H43" s="42">
        <v>9.2799999999999994</v>
      </c>
      <c r="I43" s="42"/>
      <c r="J43" s="42"/>
      <c r="K43" s="42"/>
      <c r="L43" s="42"/>
      <c r="M43" s="42"/>
    </row>
    <row r="44" spans="1:13">
      <c r="A44" s="43" t="s">
        <v>162</v>
      </c>
      <c r="B44" s="44" t="s">
        <v>162</v>
      </c>
      <c r="C44" s="44" t="s">
        <v>162</v>
      </c>
      <c r="D44" s="44">
        <v>11</v>
      </c>
      <c r="E44" s="42" t="s">
        <v>172</v>
      </c>
      <c r="F44" s="43">
        <v>262.98</v>
      </c>
      <c r="G44" s="44">
        <v>261.14</v>
      </c>
      <c r="H44" s="42">
        <v>1.84</v>
      </c>
      <c r="I44" s="42"/>
      <c r="J44" s="42"/>
      <c r="K44" s="42"/>
      <c r="L44" s="42"/>
      <c r="M44" s="42"/>
    </row>
    <row r="45" spans="1:13">
      <c r="A45" s="45" t="s">
        <v>162</v>
      </c>
      <c r="B45" s="46" t="s">
        <v>162</v>
      </c>
      <c r="C45" s="46" t="s">
        <v>162</v>
      </c>
      <c r="D45" s="46">
        <v>12</v>
      </c>
      <c r="E45" s="47" t="s">
        <v>173</v>
      </c>
      <c r="F45" s="45">
        <v>274.77</v>
      </c>
      <c r="G45" s="46">
        <v>273.76</v>
      </c>
      <c r="H45" s="42">
        <v>1.01</v>
      </c>
      <c r="I45" s="42"/>
      <c r="J45" s="42"/>
      <c r="K45" s="42"/>
      <c r="L45" s="42"/>
      <c r="M45" s="42"/>
    </row>
    <row r="46" spans="1:13">
      <c r="A46" s="43">
        <v>12</v>
      </c>
      <c r="B46" s="42" t="s">
        <v>120</v>
      </c>
      <c r="C46" s="43">
        <v>24.9</v>
      </c>
      <c r="D46" s="44">
        <v>13</v>
      </c>
      <c r="E46" s="42" t="s">
        <v>170</v>
      </c>
      <c r="F46" s="43">
        <v>295.49</v>
      </c>
      <c r="G46" s="44">
        <v>284.14</v>
      </c>
      <c r="H46" s="42">
        <v>11.35</v>
      </c>
      <c r="I46" s="42"/>
      <c r="J46" s="42"/>
      <c r="K46" s="42"/>
      <c r="L46" s="42"/>
      <c r="M46" s="42"/>
    </row>
    <row r="47" spans="1:13">
      <c r="A47" s="43" t="s">
        <v>162</v>
      </c>
      <c r="B47" s="50" t="s">
        <v>162</v>
      </c>
      <c r="C47" s="44" t="s">
        <v>162</v>
      </c>
      <c r="D47" s="44">
        <v>14</v>
      </c>
      <c r="E47" s="42" t="s">
        <v>171</v>
      </c>
      <c r="F47" s="43">
        <v>279.60000000000002</v>
      </c>
      <c r="G47" s="44">
        <v>273.88</v>
      </c>
      <c r="H47" s="42">
        <v>5.72</v>
      </c>
      <c r="I47" s="42"/>
      <c r="J47" s="42"/>
      <c r="K47" s="42"/>
      <c r="L47" s="42"/>
      <c r="M47" s="42"/>
    </row>
    <row r="48" spans="1:13">
      <c r="A48" s="43" t="s">
        <v>162</v>
      </c>
      <c r="B48" s="44" t="s">
        <v>162</v>
      </c>
      <c r="C48" s="44" t="s">
        <v>162</v>
      </c>
      <c r="D48" s="44">
        <v>15</v>
      </c>
      <c r="E48" s="42" t="s">
        <v>172</v>
      </c>
      <c r="F48" s="43">
        <v>286.10000000000002</v>
      </c>
      <c r="G48" s="44">
        <v>285.98</v>
      </c>
      <c r="H48" s="42">
        <v>0.12</v>
      </c>
      <c r="I48" s="42"/>
      <c r="J48" s="42"/>
      <c r="K48" s="42"/>
      <c r="L48" s="42"/>
      <c r="M48" s="42"/>
    </row>
    <row r="49" spans="1:13">
      <c r="A49" s="45" t="s">
        <v>162</v>
      </c>
      <c r="B49" s="46" t="s">
        <v>162</v>
      </c>
      <c r="C49" s="46" t="s">
        <v>162</v>
      </c>
      <c r="D49" s="46">
        <v>16</v>
      </c>
      <c r="E49" s="47" t="s">
        <v>173</v>
      </c>
      <c r="F49" s="43">
        <v>275.18</v>
      </c>
      <c r="G49" s="44">
        <v>275.12</v>
      </c>
      <c r="H49" s="42">
        <v>0.06</v>
      </c>
      <c r="I49" s="42"/>
      <c r="J49" s="42"/>
      <c r="K49" s="42"/>
      <c r="L49" s="42"/>
      <c r="M49" s="42"/>
    </row>
    <row r="50" spans="1:13">
      <c r="A50" s="43">
        <v>13</v>
      </c>
      <c r="B50" s="42" t="s">
        <v>134</v>
      </c>
      <c r="C50" s="43">
        <v>25.06</v>
      </c>
      <c r="D50" s="44">
        <v>1</v>
      </c>
      <c r="E50" s="42" t="s">
        <v>170</v>
      </c>
      <c r="F50" s="43">
        <v>266.35000000000002</v>
      </c>
      <c r="G50" s="44">
        <v>260.94</v>
      </c>
      <c r="H50" s="42">
        <v>5.41</v>
      </c>
      <c r="I50" s="42"/>
      <c r="J50" s="42"/>
      <c r="K50" s="42"/>
      <c r="L50" s="42"/>
      <c r="M50" s="42"/>
    </row>
    <row r="51" spans="1:13">
      <c r="A51" s="43" t="s">
        <v>162</v>
      </c>
      <c r="B51" s="50" t="s">
        <v>162</v>
      </c>
      <c r="C51" s="44" t="s">
        <v>162</v>
      </c>
      <c r="D51" s="44">
        <v>2</v>
      </c>
      <c r="E51" s="42" t="s">
        <v>171</v>
      </c>
      <c r="F51" s="43">
        <v>268.12</v>
      </c>
      <c r="G51" s="44">
        <v>261.58</v>
      </c>
      <c r="H51" s="42">
        <v>6.54</v>
      </c>
      <c r="I51" s="42"/>
      <c r="J51" s="42"/>
      <c r="K51" s="42"/>
      <c r="L51" s="42"/>
      <c r="M51" s="42"/>
    </row>
    <row r="52" spans="1:13">
      <c r="A52" s="43" t="s">
        <v>162</v>
      </c>
      <c r="B52" s="44" t="s">
        <v>162</v>
      </c>
      <c r="C52" s="44" t="s">
        <v>162</v>
      </c>
      <c r="D52" s="44">
        <v>3</v>
      </c>
      <c r="E52" s="42" t="s">
        <v>172</v>
      </c>
      <c r="F52" s="43">
        <v>274.61</v>
      </c>
      <c r="G52" s="44">
        <v>274.17</v>
      </c>
      <c r="H52" s="42">
        <v>0.44</v>
      </c>
      <c r="I52" s="42"/>
      <c r="J52" s="42"/>
      <c r="K52" s="42"/>
      <c r="L52" s="42"/>
      <c r="M52" s="42"/>
    </row>
    <row r="53" spans="1:13">
      <c r="A53" s="45" t="s">
        <v>162</v>
      </c>
      <c r="B53" s="46" t="s">
        <v>162</v>
      </c>
      <c r="C53" s="46" t="s">
        <v>162</v>
      </c>
      <c r="D53" s="46">
        <v>4</v>
      </c>
      <c r="E53" s="47" t="s">
        <v>173</v>
      </c>
      <c r="F53" s="45">
        <v>274.51</v>
      </c>
      <c r="G53" s="46">
        <v>274.45999999999998</v>
      </c>
      <c r="H53" s="42">
        <v>0.05</v>
      </c>
      <c r="I53" s="42"/>
      <c r="J53" s="42"/>
      <c r="K53" s="42"/>
      <c r="L53" s="42"/>
      <c r="M53" s="42"/>
    </row>
    <row r="54" spans="1:13">
      <c r="A54" s="43">
        <v>14</v>
      </c>
      <c r="B54" s="42" t="s">
        <v>136</v>
      </c>
      <c r="C54" s="43">
        <v>25.1</v>
      </c>
      <c r="D54" s="44">
        <v>5</v>
      </c>
      <c r="E54" s="42" t="s">
        <v>170</v>
      </c>
      <c r="F54" s="43">
        <v>273.14</v>
      </c>
      <c r="G54" s="44">
        <v>262.19</v>
      </c>
      <c r="H54" s="42">
        <v>10.95</v>
      </c>
      <c r="I54" s="42"/>
      <c r="J54" s="42"/>
      <c r="K54" s="42"/>
      <c r="L54" s="42"/>
      <c r="M54" s="42"/>
    </row>
    <row r="55" spans="1:13">
      <c r="A55" s="43" t="s">
        <v>162</v>
      </c>
      <c r="B55" s="50" t="s">
        <v>162</v>
      </c>
      <c r="C55" s="44" t="s">
        <v>162</v>
      </c>
      <c r="D55" s="44">
        <v>6</v>
      </c>
      <c r="E55" s="42" t="s">
        <v>171</v>
      </c>
      <c r="F55" s="43">
        <v>286.36</v>
      </c>
      <c r="G55" s="44">
        <v>285.95</v>
      </c>
      <c r="H55" s="42">
        <v>0.41</v>
      </c>
      <c r="I55" s="42"/>
      <c r="J55" s="42"/>
      <c r="K55" s="42"/>
      <c r="L55" s="42"/>
      <c r="M55" s="42"/>
    </row>
    <row r="56" spans="1:13">
      <c r="A56" s="43" t="s">
        <v>162</v>
      </c>
      <c r="B56" s="44" t="s">
        <v>162</v>
      </c>
      <c r="C56" s="44" t="s">
        <v>162</v>
      </c>
      <c r="D56" s="44">
        <v>7</v>
      </c>
      <c r="E56" s="42" t="s">
        <v>172</v>
      </c>
      <c r="F56" s="43">
        <v>292.02</v>
      </c>
      <c r="G56" s="44">
        <v>286.67</v>
      </c>
      <c r="H56" s="42">
        <v>5.35</v>
      </c>
      <c r="I56" s="42"/>
      <c r="J56" s="42"/>
      <c r="K56" s="42"/>
      <c r="L56" s="42"/>
      <c r="M56" s="42"/>
    </row>
    <row r="57" spans="1:13">
      <c r="A57" s="45" t="s">
        <v>162</v>
      </c>
      <c r="B57" s="46" t="s">
        <v>162</v>
      </c>
      <c r="C57" s="46" t="s">
        <v>162</v>
      </c>
      <c r="D57" s="46">
        <v>8</v>
      </c>
      <c r="E57" s="47" t="s">
        <v>173</v>
      </c>
      <c r="F57" s="45">
        <v>285.20999999999998</v>
      </c>
      <c r="G57" s="46">
        <v>285.08</v>
      </c>
      <c r="H57" s="42">
        <v>0.13</v>
      </c>
      <c r="I57" s="42"/>
      <c r="J57" s="42"/>
      <c r="K57" s="42"/>
      <c r="L57" s="42"/>
      <c r="M57" s="42"/>
    </row>
    <row r="58" spans="1:13">
      <c r="A58" s="43">
        <v>15</v>
      </c>
      <c r="B58" s="42" t="s">
        <v>138</v>
      </c>
      <c r="C58" s="43">
        <v>25.16</v>
      </c>
      <c r="D58" s="44">
        <v>9</v>
      </c>
      <c r="E58" s="42" t="s">
        <v>170</v>
      </c>
      <c r="F58" s="43">
        <v>283.64</v>
      </c>
      <c r="G58" s="44">
        <v>275.38</v>
      </c>
      <c r="H58" s="42">
        <v>8.26</v>
      </c>
      <c r="I58" s="42"/>
      <c r="J58" s="42"/>
      <c r="K58" s="42"/>
      <c r="L58" s="42"/>
      <c r="M58" s="42"/>
    </row>
    <row r="59" spans="1:13">
      <c r="A59" s="43" t="s">
        <v>162</v>
      </c>
      <c r="B59" s="50" t="s">
        <v>162</v>
      </c>
      <c r="C59" s="44" t="s">
        <v>162</v>
      </c>
      <c r="D59" s="44">
        <v>10</v>
      </c>
      <c r="E59" s="42" t="s">
        <v>171</v>
      </c>
      <c r="F59" s="43">
        <v>280.01</v>
      </c>
      <c r="G59" s="44">
        <v>274.76</v>
      </c>
      <c r="H59" s="42">
        <v>5.25</v>
      </c>
      <c r="I59" s="42"/>
      <c r="J59" s="42"/>
      <c r="K59" s="42"/>
      <c r="L59" s="42"/>
      <c r="M59" s="42"/>
    </row>
    <row r="60" spans="1:13">
      <c r="A60" s="43" t="s">
        <v>162</v>
      </c>
      <c r="B60" s="44" t="s">
        <v>162</v>
      </c>
      <c r="C60" s="44" t="s">
        <v>162</v>
      </c>
      <c r="D60" s="44">
        <v>11</v>
      </c>
      <c r="E60" s="42" t="s">
        <v>172</v>
      </c>
      <c r="F60" s="43">
        <v>261.33</v>
      </c>
      <c r="G60" s="44">
        <v>260.99</v>
      </c>
      <c r="H60" s="42">
        <v>0.34</v>
      </c>
      <c r="I60" s="42"/>
      <c r="J60" s="42"/>
      <c r="K60" s="42"/>
      <c r="L60" s="42"/>
      <c r="M60" s="42"/>
    </row>
    <row r="61" spans="1:13">
      <c r="A61" s="45" t="s">
        <v>162</v>
      </c>
      <c r="B61" s="46" t="s">
        <v>162</v>
      </c>
      <c r="C61" s="46" t="s">
        <v>162</v>
      </c>
      <c r="D61" s="46">
        <v>12</v>
      </c>
      <c r="E61" s="47" t="s">
        <v>173</v>
      </c>
      <c r="F61" s="45">
        <v>273.36</v>
      </c>
      <c r="G61" s="46">
        <v>273.27999999999997</v>
      </c>
      <c r="H61" s="42">
        <v>0.08</v>
      </c>
      <c r="I61" s="42"/>
      <c r="J61" s="42"/>
      <c r="K61" s="42"/>
      <c r="L61" s="42"/>
      <c r="M61" s="42"/>
    </row>
    <row r="62" spans="1:13">
      <c r="A62" s="43">
        <v>16</v>
      </c>
      <c r="B62" s="42" t="s">
        <v>140</v>
      </c>
      <c r="C62" s="43">
        <v>25.16</v>
      </c>
      <c r="D62" s="44">
        <v>13</v>
      </c>
      <c r="E62" s="42" t="s">
        <v>170</v>
      </c>
      <c r="F62" s="43">
        <v>288.31</v>
      </c>
      <c r="G62" s="44">
        <v>284.44</v>
      </c>
      <c r="H62" s="42">
        <v>3.87</v>
      </c>
      <c r="I62" s="42"/>
      <c r="J62" s="42"/>
      <c r="K62" s="42"/>
      <c r="L62" s="42"/>
      <c r="M62" s="42"/>
    </row>
    <row r="63" spans="1:13">
      <c r="A63" s="43" t="s">
        <v>162</v>
      </c>
      <c r="B63" s="50" t="s">
        <v>162</v>
      </c>
      <c r="C63" s="44" t="s">
        <v>162</v>
      </c>
      <c r="D63" s="44">
        <v>14</v>
      </c>
      <c r="E63" s="42" t="s">
        <v>171</v>
      </c>
      <c r="F63" s="43">
        <v>279.33</v>
      </c>
      <c r="G63" s="44">
        <v>276.02999999999997</v>
      </c>
      <c r="H63" s="42">
        <v>3.3</v>
      </c>
      <c r="I63" s="42"/>
      <c r="J63" s="42"/>
      <c r="K63" s="42"/>
      <c r="L63" s="42"/>
      <c r="M63" s="42"/>
    </row>
    <row r="64" spans="1:13">
      <c r="A64" s="48" t="s">
        <v>162</v>
      </c>
      <c r="B64" s="49" t="s">
        <v>162</v>
      </c>
      <c r="C64" s="49" t="s">
        <v>162</v>
      </c>
      <c r="D64" s="49">
        <v>15</v>
      </c>
      <c r="E64" s="42" t="s">
        <v>172</v>
      </c>
      <c r="F64" s="43">
        <v>286.37</v>
      </c>
      <c r="G64" s="44">
        <v>286</v>
      </c>
      <c r="H64" s="42">
        <v>0.37</v>
      </c>
      <c r="I64" s="42"/>
      <c r="J64" s="42"/>
      <c r="K64" s="42"/>
      <c r="L64" s="42"/>
      <c r="M64" s="42"/>
    </row>
    <row r="65" spans="1:13">
      <c r="A65" s="38" t="s">
        <v>162</v>
      </c>
      <c r="B65" s="39" t="s">
        <v>162</v>
      </c>
      <c r="C65" s="39" t="s">
        <v>162</v>
      </c>
      <c r="D65" s="39">
        <v>16</v>
      </c>
      <c r="E65" s="39" t="s">
        <v>173</v>
      </c>
      <c r="F65" s="44">
        <v>275.73</v>
      </c>
      <c r="G65" s="44">
        <v>275.52</v>
      </c>
      <c r="H65" s="42">
        <v>0.21</v>
      </c>
      <c r="I65" s="42"/>
      <c r="J65" s="42"/>
      <c r="K65" s="42"/>
      <c r="L65" s="42"/>
      <c r="M65" s="42"/>
    </row>
    <row r="66" spans="1:13">
      <c r="A66" s="43">
        <v>17</v>
      </c>
      <c r="B66" s="44" t="s">
        <v>142</v>
      </c>
      <c r="C66" s="44">
        <v>24.96</v>
      </c>
      <c r="D66" s="44">
        <v>1</v>
      </c>
      <c r="E66" s="42" t="s">
        <v>170</v>
      </c>
      <c r="F66" s="43">
        <v>269.61</v>
      </c>
      <c r="G66" s="44">
        <v>260.83</v>
      </c>
      <c r="H66" s="42">
        <v>8.7799999999999994</v>
      </c>
      <c r="I66" s="42"/>
      <c r="J66" s="42"/>
      <c r="K66" s="42"/>
      <c r="L66" s="42"/>
      <c r="M66" s="42"/>
    </row>
    <row r="67" spans="1:13">
      <c r="A67" s="43" t="s">
        <v>162</v>
      </c>
      <c r="B67" s="44" t="s">
        <v>162</v>
      </c>
      <c r="C67" s="44" t="s">
        <v>162</v>
      </c>
      <c r="D67" s="44">
        <v>2</v>
      </c>
      <c r="E67" s="42" t="s">
        <v>171</v>
      </c>
      <c r="F67" s="43">
        <v>267.74</v>
      </c>
      <c r="G67" s="44">
        <v>261.07</v>
      </c>
      <c r="H67" s="42">
        <v>6.67</v>
      </c>
      <c r="I67" s="42"/>
      <c r="J67" s="42"/>
      <c r="K67" s="42"/>
      <c r="L67" s="42"/>
      <c r="M67" s="42"/>
    </row>
    <row r="68" spans="1:13">
      <c r="A68" s="43" t="s">
        <v>162</v>
      </c>
      <c r="B68" s="44" t="s">
        <v>162</v>
      </c>
      <c r="C68" s="44" t="s">
        <v>162</v>
      </c>
      <c r="D68" s="44">
        <v>3</v>
      </c>
      <c r="E68" s="42" t="s">
        <v>172</v>
      </c>
      <c r="F68" s="43">
        <v>273.99</v>
      </c>
      <c r="G68" s="44">
        <v>273.92</v>
      </c>
      <c r="H68" s="42">
        <v>7.0000000000000007E-2</v>
      </c>
      <c r="I68" s="42"/>
      <c r="J68" s="42"/>
      <c r="K68" s="42"/>
      <c r="L68" s="42"/>
      <c r="M68" s="42"/>
    </row>
    <row r="69" spans="1:13">
      <c r="A69" s="45" t="s">
        <v>162</v>
      </c>
      <c r="B69" s="46" t="s">
        <v>162</v>
      </c>
      <c r="C69" s="46" t="s">
        <v>162</v>
      </c>
      <c r="D69" s="46">
        <v>4</v>
      </c>
      <c r="E69" s="47" t="s">
        <v>173</v>
      </c>
      <c r="F69" s="45">
        <v>273.99</v>
      </c>
      <c r="G69" s="46">
        <v>274.01</v>
      </c>
      <c r="H69" s="42">
        <v>-0.02</v>
      </c>
      <c r="I69" s="42"/>
      <c r="J69" s="42"/>
      <c r="K69" s="42"/>
      <c r="L69" s="42"/>
      <c r="M69" s="42"/>
    </row>
    <row r="70" spans="1:13">
      <c r="A70" s="43">
        <v>18</v>
      </c>
      <c r="B70" s="44" t="s">
        <v>143</v>
      </c>
      <c r="C70" s="44">
        <v>25</v>
      </c>
      <c r="D70" s="44">
        <v>5</v>
      </c>
      <c r="E70" s="42" t="s">
        <v>170</v>
      </c>
      <c r="F70" s="43">
        <v>274.51</v>
      </c>
      <c r="G70" s="44">
        <v>261.60000000000002</v>
      </c>
      <c r="H70" s="42">
        <v>12.91</v>
      </c>
      <c r="I70" s="42"/>
      <c r="J70" s="42"/>
      <c r="K70" s="42"/>
      <c r="L70" s="42"/>
      <c r="M70" s="42"/>
    </row>
    <row r="71" spans="1:13">
      <c r="A71" s="43" t="s">
        <v>162</v>
      </c>
      <c r="B71" s="44" t="s">
        <v>162</v>
      </c>
      <c r="C71" s="44" t="s">
        <v>162</v>
      </c>
      <c r="D71" s="44">
        <v>6</v>
      </c>
      <c r="E71" s="42" t="s">
        <v>171</v>
      </c>
      <c r="F71" s="43">
        <v>291.08999999999997</v>
      </c>
      <c r="G71" s="44">
        <v>286.06</v>
      </c>
      <c r="H71" s="42">
        <v>5.03</v>
      </c>
      <c r="I71" s="42"/>
      <c r="J71" s="42"/>
      <c r="K71" s="42"/>
      <c r="L71" s="42"/>
      <c r="M71" s="42"/>
    </row>
    <row r="72" spans="1:13">
      <c r="A72" s="43" t="s">
        <v>162</v>
      </c>
      <c r="B72" s="44" t="s">
        <v>162</v>
      </c>
      <c r="C72" s="44" t="s">
        <v>162</v>
      </c>
      <c r="D72" s="44">
        <v>7</v>
      </c>
      <c r="E72" s="42" t="s">
        <v>172</v>
      </c>
      <c r="F72" s="43">
        <v>286.01</v>
      </c>
      <c r="G72" s="44">
        <v>285.89</v>
      </c>
      <c r="H72" s="42">
        <v>0.12</v>
      </c>
      <c r="I72" s="42"/>
      <c r="J72" s="42"/>
      <c r="K72" s="42"/>
      <c r="L72" s="42"/>
      <c r="M72" s="42"/>
    </row>
    <row r="73" spans="1:13">
      <c r="A73" s="45" t="s">
        <v>162</v>
      </c>
      <c r="B73" s="46" t="s">
        <v>162</v>
      </c>
      <c r="C73" s="46" t="s">
        <v>162</v>
      </c>
      <c r="D73" s="46">
        <v>8</v>
      </c>
      <c r="E73" s="47" t="s">
        <v>173</v>
      </c>
      <c r="F73" s="45">
        <v>284.77999999999997</v>
      </c>
      <c r="G73" s="46">
        <v>284.74</v>
      </c>
      <c r="H73" s="42">
        <v>0.04</v>
      </c>
      <c r="I73" s="42"/>
      <c r="J73" s="42"/>
      <c r="K73" s="42"/>
      <c r="L73" s="42"/>
      <c r="M73" s="42"/>
    </row>
    <row r="74" spans="1:13">
      <c r="A74" s="43">
        <v>19</v>
      </c>
      <c r="B74" s="44" t="s">
        <v>144</v>
      </c>
      <c r="C74" s="44">
        <v>24.93</v>
      </c>
      <c r="D74" s="44">
        <v>9</v>
      </c>
      <c r="E74" s="42" t="s">
        <v>170</v>
      </c>
      <c r="F74" s="43">
        <v>286.5</v>
      </c>
      <c r="G74" s="44">
        <v>275.22000000000003</v>
      </c>
      <c r="H74" s="42">
        <v>11.28</v>
      </c>
      <c r="I74" s="42"/>
      <c r="J74" s="42"/>
      <c r="K74" s="42"/>
      <c r="L74" s="42"/>
      <c r="M74" s="42"/>
    </row>
    <row r="75" spans="1:13">
      <c r="A75" s="43" t="s">
        <v>162</v>
      </c>
      <c r="B75" s="44" t="s">
        <v>162</v>
      </c>
      <c r="C75" s="44" t="s">
        <v>162</v>
      </c>
      <c r="D75" s="44">
        <v>10</v>
      </c>
      <c r="E75" s="42" t="s">
        <v>171</v>
      </c>
      <c r="F75" s="43">
        <v>279.74</v>
      </c>
      <c r="G75" s="44">
        <v>274.89999999999998</v>
      </c>
      <c r="H75" s="42">
        <v>4.84</v>
      </c>
      <c r="I75" s="42"/>
      <c r="J75" s="42"/>
      <c r="K75" s="42"/>
      <c r="L75" s="42"/>
      <c r="M75" s="42"/>
    </row>
    <row r="76" spans="1:13">
      <c r="A76" s="43" t="s">
        <v>162</v>
      </c>
      <c r="B76" s="44" t="s">
        <v>162</v>
      </c>
      <c r="C76" s="44" t="s">
        <v>162</v>
      </c>
      <c r="D76" s="44">
        <v>11</v>
      </c>
      <c r="E76" s="42" t="s">
        <v>172</v>
      </c>
      <c r="F76" s="43">
        <v>261.05</v>
      </c>
      <c r="G76" s="44">
        <v>260.73</v>
      </c>
      <c r="H76" s="42">
        <v>0.32</v>
      </c>
      <c r="I76" s="42"/>
      <c r="J76" s="42"/>
      <c r="K76" s="42"/>
      <c r="L76" s="42"/>
      <c r="M76" s="42"/>
    </row>
    <row r="77" spans="1:13">
      <c r="A77" s="45" t="s">
        <v>162</v>
      </c>
      <c r="B77" s="46" t="s">
        <v>162</v>
      </c>
      <c r="C77" s="46" t="s">
        <v>162</v>
      </c>
      <c r="D77" s="46">
        <v>12</v>
      </c>
      <c r="E77" s="47" t="s">
        <v>173</v>
      </c>
      <c r="F77" s="45">
        <v>273.18</v>
      </c>
      <c r="G77" s="46">
        <v>273.14999999999998</v>
      </c>
      <c r="H77" s="42">
        <v>0.03</v>
      </c>
      <c r="I77" s="42"/>
      <c r="J77" s="42"/>
      <c r="K77" s="42"/>
      <c r="L77" s="42"/>
      <c r="M77" s="42"/>
    </row>
    <row r="78" spans="1:13">
      <c r="A78" s="43">
        <v>20</v>
      </c>
      <c r="B78" s="44" t="s">
        <v>145</v>
      </c>
      <c r="C78" s="44">
        <v>24.73</v>
      </c>
      <c r="D78" s="44">
        <v>13</v>
      </c>
      <c r="E78" s="42" t="s">
        <v>170</v>
      </c>
      <c r="F78" s="43">
        <v>292.2</v>
      </c>
      <c r="G78" s="44">
        <v>284.17</v>
      </c>
      <c r="H78" s="42">
        <v>8.0299999999999994</v>
      </c>
      <c r="I78" s="42"/>
      <c r="J78" s="42"/>
      <c r="K78" s="42"/>
      <c r="L78" s="42"/>
      <c r="M78" s="42"/>
    </row>
    <row r="79" spans="1:13">
      <c r="A79" s="43" t="s">
        <v>162</v>
      </c>
      <c r="B79" s="44" t="s">
        <v>162</v>
      </c>
      <c r="C79" s="44" t="s">
        <v>162</v>
      </c>
      <c r="D79" s="44">
        <v>14</v>
      </c>
      <c r="E79" s="42" t="s">
        <v>171</v>
      </c>
      <c r="F79" s="43">
        <v>281.79000000000002</v>
      </c>
      <c r="G79" s="44">
        <v>274.20999999999998</v>
      </c>
      <c r="H79" s="42">
        <v>7.58</v>
      </c>
      <c r="I79" s="42"/>
      <c r="J79" s="42"/>
      <c r="K79" s="42"/>
      <c r="L79" s="42"/>
      <c r="M79" s="42"/>
    </row>
    <row r="80" spans="1:13">
      <c r="A80" s="48" t="s">
        <v>162</v>
      </c>
      <c r="B80" s="49" t="s">
        <v>162</v>
      </c>
      <c r="C80" s="49" t="s">
        <v>162</v>
      </c>
      <c r="D80" s="49">
        <v>15</v>
      </c>
      <c r="E80" s="42" t="s">
        <v>172</v>
      </c>
      <c r="F80" s="43">
        <v>286.51</v>
      </c>
      <c r="G80" s="49">
        <v>285.98</v>
      </c>
      <c r="H80" s="42">
        <v>0.53</v>
      </c>
      <c r="I80" s="42"/>
      <c r="J80" s="42"/>
      <c r="K80" s="42"/>
      <c r="L80" s="42"/>
      <c r="M80" s="42"/>
    </row>
    <row r="81" spans="1:13">
      <c r="A81" s="38" t="s">
        <v>162</v>
      </c>
      <c r="B81" s="39" t="s">
        <v>162</v>
      </c>
      <c r="C81" s="39" t="s">
        <v>162</v>
      </c>
      <c r="D81" s="39">
        <v>16</v>
      </c>
      <c r="E81" s="39" t="s">
        <v>173</v>
      </c>
      <c r="F81" s="49">
        <v>275.58999999999997</v>
      </c>
      <c r="G81" s="39">
        <v>275.41000000000003</v>
      </c>
      <c r="H81" s="42">
        <v>0.18</v>
      </c>
      <c r="I81" s="42"/>
      <c r="J81" s="42"/>
      <c r="K81" s="42"/>
      <c r="L81" s="42"/>
      <c r="M81" s="42"/>
    </row>
    <row r="82" spans="1:13">
      <c r="A82" s="43">
        <v>21</v>
      </c>
      <c r="B82" s="44" t="s">
        <v>146</v>
      </c>
      <c r="C82" s="44">
        <v>25.14</v>
      </c>
      <c r="D82" s="44" t="s">
        <v>83</v>
      </c>
      <c r="E82" s="44" t="s">
        <v>170</v>
      </c>
      <c r="F82" s="44">
        <v>282.44</v>
      </c>
      <c r="G82" s="44">
        <v>273.45</v>
      </c>
      <c r="H82" s="42">
        <v>8.99</v>
      </c>
      <c r="I82" s="42"/>
      <c r="J82" s="42"/>
      <c r="K82" s="42"/>
      <c r="L82" s="42"/>
      <c r="M82" s="42"/>
    </row>
    <row r="83" spans="1:13">
      <c r="A83" s="43" t="s">
        <v>162</v>
      </c>
      <c r="B83" s="44" t="s">
        <v>162</v>
      </c>
      <c r="C83" s="44" t="s">
        <v>162</v>
      </c>
      <c r="D83" s="44" t="s">
        <v>84</v>
      </c>
      <c r="E83" s="44" t="s">
        <v>171</v>
      </c>
      <c r="F83" s="44">
        <v>293.86</v>
      </c>
      <c r="G83" s="44">
        <v>286.39</v>
      </c>
      <c r="H83" s="42">
        <v>7.47</v>
      </c>
      <c r="I83" s="42"/>
      <c r="J83" s="42"/>
      <c r="K83" s="42"/>
      <c r="L83" s="42"/>
      <c r="M83" s="42"/>
    </row>
    <row r="84" spans="1:13">
      <c r="A84" s="43" t="s">
        <v>162</v>
      </c>
      <c r="B84" s="44" t="s">
        <v>162</v>
      </c>
      <c r="C84" s="44" t="s">
        <v>162</v>
      </c>
      <c r="D84" s="44" t="s">
        <v>88</v>
      </c>
      <c r="E84" s="44" t="s">
        <v>172</v>
      </c>
      <c r="F84" s="44">
        <v>284.97000000000003</v>
      </c>
      <c r="G84" s="44">
        <v>284.45</v>
      </c>
      <c r="H84" s="42">
        <v>0.52</v>
      </c>
      <c r="I84" s="42"/>
      <c r="J84" s="42"/>
      <c r="K84" s="42"/>
      <c r="L84" s="42"/>
      <c r="M84" s="42"/>
    </row>
    <row r="85" spans="1:13">
      <c r="A85" s="45" t="s">
        <v>162</v>
      </c>
      <c r="B85" s="46" t="s">
        <v>162</v>
      </c>
      <c r="C85" s="46" t="s">
        <v>162</v>
      </c>
      <c r="D85" s="46" t="s">
        <v>86</v>
      </c>
      <c r="E85" s="47" t="s">
        <v>173</v>
      </c>
      <c r="F85" s="45">
        <v>261.58</v>
      </c>
      <c r="G85" s="46">
        <v>261.39</v>
      </c>
      <c r="H85" s="42">
        <v>0.19</v>
      </c>
      <c r="I85" s="42"/>
      <c r="J85" s="42"/>
      <c r="K85" s="42"/>
      <c r="L85" s="42"/>
      <c r="M85" s="42"/>
    </row>
    <row r="86" spans="1:13">
      <c r="A86" s="43">
        <v>22</v>
      </c>
      <c r="B86" s="44" t="s">
        <v>147</v>
      </c>
      <c r="C86" s="44">
        <v>25.22</v>
      </c>
      <c r="D86" s="44" t="s">
        <v>87</v>
      </c>
      <c r="E86" s="42" t="s">
        <v>170</v>
      </c>
      <c r="F86" s="43">
        <v>268.10000000000002</v>
      </c>
      <c r="G86" s="44">
        <v>260.58</v>
      </c>
      <c r="H86" s="42">
        <v>7.52</v>
      </c>
      <c r="I86" s="42"/>
      <c r="J86" s="42"/>
      <c r="K86" s="42"/>
      <c r="L86" s="42"/>
      <c r="M86" s="42"/>
    </row>
    <row r="87" spans="1:13">
      <c r="A87" s="43" t="s">
        <v>162</v>
      </c>
      <c r="B87" s="44" t="s">
        <v>162</v>
      </c>
      <c r="C87" s="44" t="s">
        <v>162</v>
      </c>
      <c r="D87" s="44" t="s">
        <v>85</v>
      </c>
      <c r="E87" s="42" t="s">
        <v>171</v>
      </c>
      <c r="F87" s="43">
        <v>291.3</v>
      </c>
      <c r="G87" s="44">
        <v>287.83</v>
      </c>
      <c r="H87" s="42">
        <v>3.47</v>
      </c>
      <c r="I87" s="42"/>
      <c r="J87" s="42"/>
      <c r="K87" s="42"/>
      <c r="L87" s="42"/>
      <c r="M87" s="42"/>
    </row>
    <row r="88" spans="1:13">
      <c r="A88" s="43" t="s">
        <v>162</v>
      </c>
      <c r="B88" s="44" t="s">
        <v>162</v>
      </c>
      <c r="C88" s="44" t="s">
        <v>162</v>
      </c>
      <c r="D88" s="44" t="s">
        <v>91</v>
      </c>
      <c r="E88" s="42" t="s">
        <v>172</v>
      </c>
      <c r="F88" s="43">
        <v>290.72000000000003</v>
      </c>
      <c r="G88" s="44">
        <v>285.08999999999997</v>
      </c>
      <c r="H88" s="42">
        <v>5.63</v>
      </c>
      <c r="I88" s="42"/>
      <c r="J88" s="42"/>
      <c r="K88" s="42"/>
      <c r="L88" s="42"/>
      <c r="M88" s="42"/>
    </row>
    <row r="89" spans="1:13">
      <c r="A89" s="45" t="s">
        <v>162</v>
      </c>
      <c r="B89" s="46" t="s">
        <v>162</v>
      </c>
      <c r="C89" s="46" t="s">
        <v>162</v>
      </c>
      <c r="D89" s="46" t="s">
        <v>93</v>
      </c>
      <c r="E89" s="47" t="s">
        <v>173</v>
      </c>
      <c r="F89" s="45">
        <v>275.3</v>
      </c>
      <c r="G89" s="46">
        <v>275.13</v>
      </c>
      <c r="H89" s="42">
        <v>0.17</v>
      </c>
      <c r="I89" s="42"/>
      <c r="J89" s="42"/>
      <c r="K89" s="42"/>
      <c r="L89" s="42"/>
      <c r="M89" s="42"/>
    </row>
    <row r="90" spans="1:13">
      <c r="A90" s="43">
        <v>23</v>
      </c>
      <c r="B90" s="44" t="s">
        <v>148</v>
      </c>
      <c r="C90" s="44">
        <v>25.15</v>
      </c>
      <c r="D90" s="44" t="s">
        <v>90</v>
      </c>
      <c r="E90" s="42" t="s">
        <v>170</v>
      </c>
      <c r="F90" s="43">
        <v>270.5</v>
      </c>
      <c r="G90" s="44">
        <v>261.06</v>
      </c>
      <c r="H90" s="42">
        <v>9.44</v>
      </c>
      <c r="I90" s="42"/>
      <c r="J90" s="42"/>
      <c r="K90" s="42"/>
      <c r="L90" s="42"/>
      <c r="M90" s="42"/>
    </row>
    <row r="91" spans="1:13">
      <c r="A91" s="43" t="s">
        <v>162</v>
      </c>
      <c r="B91" s="44" t="s">
        <v>162</v>
      </c>
      <c r="C91" s="44" t="s">
        <v>162</v>
      </c>
      <c r="D91" s="44" t="s">
        <v>94</v>
      </c>
      <c r="E91" s="42" t="s">
        <v>171</v>
      </c>
      <c r="F91" s="43">
        <v>268.35000000000002</v>
      </c>
      <c r="G91" s="44">
        <v>260.83999999999997</v>
      </c>
      <c r="H91" s="42">
        <v>7.51</v>
      </c>
      <c r="I91" s="42"/>
      <c r="J91" s="42"/>
      <c r="K91" s="42"/>
      <c r="L91" s="42"/>
      <c r="M91" s="42"/>
    </row>
    <row r="92" spans="1:13">
      <c r="A92" s="43" t="s">
        <v>162</v>
      </c>
      <c r="B92" s="44" t="s">
        <v>162</v>
      </c>
      <c r="C92" s="44" t="s">
        <v>162</v>
      </c>
      <c r="D92" s="44" t="s">
        <v>89</v>
      </c>
      <c r="E92" s="42" t="s">
        <v>172</v>
      </c>
      <c r="F92" s="43">
        <v>285.01</v>
      </c>
      <c r="G92" s="44">
        <v>284.77999999999997</v>
      </c>
      <c r="H92" s="42">
        <v>0.23</v>
      </c>
      <c r="I92" s="42"/>
      <c r="J92" s="42"/>
      <c r="K92" s="42"/>
      <c r="L92" s="42"/>
      <c r="M92" s="42"/>
    </row>
    <row r="93" spans="1:13">
      <c r="A93" s="45" t="s">
        <v>162</v>
      </c>
      <c r="B93" s="46" t="s">
        <v>162</v>
      </c>
      <c r="C93" s="46" t="s">
        <v>162</v>
      </c>
      <c r="D93" s="46" t="s">
        <v>92</v>
      </c>
      <c r="E93" s="47" t="s">
        <v>173</v>
      </c>
      <c r="F93" s="45">
        <v>274.45999999999998</v>
      </c>
      <c r="G93" s="46">
        <v>274.39999999999998</v>
      </c>
      <c r="H93" s="42">
        <v>0.06</v>
      </c>
      <c r="I93" s="42"/>
      <c r="J93" s="42"/>
      <c r="K93" s="42"/>
      <c r="L93" s="42"/>
      <c r="M93" s="42"/>
    </row>
    <row r="94" spans="1:13">
      <c r="A94" s="43">
        <v>24</v>
      </c>
      <c r="B94" s="44" t="s">
        <v>149</v>
      </c>
      <c r="C94" s="44">
        <v>25</v>
      </c>
      <c r="D94" s="44" t="s">
        <v>96</v>
      </c>
      <c r="E94" s="42" t="s">
        <v>170</v>
      </c>
      <c r="F94" s="43">
        <v>298.26</v>
      </c>
      <c r="G94" s="44">
        <v>287.39</v>
      </c>
      <c r="H94" s="42">
        <v>10.87</v>
      </c>
      <c r="I94" s="42"/>
      <c r="J94" s="42"/>
      <c r="K94" s="42"/>
      <c r="L94" s="42"/>
      <c r="M94" s="42"/>
    </row>
    <row r="95" spans="1:13">
      <c r="A95" s="43" t="s">
        <v>162</v>
      </c>
      <c r="B95" s="44" t="s">
        <v>162</v>
      </c>
      <c r="C95" s="44" t="s">
        <v>162</v>
      </c>
      <c r="D95" s="44" t="s">
        <v>100</v>
      </c>
      <c r="E95" s="42" t="s">
        <v>171</v>
      </c>
      <c r="F95" s="43">
        <v>280.38</v>
      </c>
      <c r="G95" s="44">
        <v>275.42</v>
      </c>
      <c r="H95" s="42">
        <v>4.96</v>
      </c>
      <c r="I95" s="42"/>
      <c r="J95" s="42"/>
      <c r="K95" s="42"/>
      <c r="L95" s="42"/>
      <c r="M95" s="42"/>
    </row>
    <row r="96" spans="1:13">
      <c r="A96" s="43" t="s">
        <v>162</v>
      </c>
      <c r="B96" s="44" t="s">
        <v>162</v>
      </c>
      <c r="C96" s="44" t="s">
        <v>162</v>
      </c>
      <c r="D96" s="44" t="s">
        <v>95</v>
      </c>
      <c r="E96" s="42" t="s">
        <v>172</v>
      </c>
      <c r="F96" s="43">
        <v>274.82</v>
      </c>
      <c r="G96" s="44">
        <v>274.63</v>
      </c>
      <c r="H96" s="42">
        <v>0.19</v>
      </c>
      <c r="I96" s="42"/>
      <c r="J96" s="42"/>
      <c r="K96" s="42"/>
      <c r="L96" s="42"/>
      <c r="M96" s="42"/>
    </row>
    <row r="97" spans="1:13">
      <c r="A97" s="45" t="s">
        <v>162</v>
      </c>
      <c r="B97" s="46" t="s">
        <v>162</v>
      </c>
      <c r="C97" s="46" t="s">
        <v>162</v>
      </c>
      <c r="D97" s="46" t="s">
        <v>98</v>
      </c>
      <c r="E97" s="47" t="s">
        <v>173</v>
      </c>
      <c r="F97" s="45">
        <v>274.36</v>
      </c>
      <c r="G97" s="46">
        <v>274.3</v>
      </c>
      <c r="H97" s="42">
        <v>0.06</v>
      </c>
      <c r="I97" s="42"/>
      <c r="J97" s="42"/>
      <c r="K97" s="42"/>
      <c r="L97" s="42"/>
      <c r="M97" s="42"/>
    </row>
    <row r="98" spans="1:13">
      <c r="A98" s="43">
        <v>25</v>
      </c>
      <c r="B98" s="44" t="s">
        <v>150</v>
      </c>
      <c r="C98" s="44">
        <v>25.26</v>
      </c>
      <c r="D98" s="44">
        <v>1</v>
      </c>
      <c r="E98" s="42" t="s">
        <v>170</v>
      </c>
      <c r="F98" s="43">
        <v>269.06</v>
      </c>
      <c r="G98" s="44">
        <v>260.88</v>
      </c>
      <c r="H98" s="42">
        <v>8.18</v>
      </c>
      <c r="I98" s="42"/>
      <c r="J98" s="42"/>
      <c r="K98" s="42"/>
      <c r="L98" s="42"/>
      <c r="M98" s="42"/>
    </row>
    <row r="99" spans="1:13">
      <c r="A99" s="43" t="s">
        <v>162</v>
      </c>
      <c r="B99" s="44" t="s">
        <v>162</v>
      </c>
      <c r="C99" s="44" t="s">
        <v>162</v>
      </c>
      <c r="D99" s="44">
        <v>2</v>
      </c>
      <c r="E99" s="42" t="s">
        <v>171</v>
      </c>
      <c r="F99" s="43">
        <v>269.35000000000002</v>
      </c>
      <c r="G99" s="44">
        <v>261.27999999999997</v>
      </c>
      <c r="H99" s="42">
        <v>8.07</v>
      </c>
      <c r="I99" s="42"/>
      <c r="J99" s="42"/>
      <c r="K99" s="42"/>
      <c r="L99" s="42"/>
      <c r="M99" s="42"/>
    </row>
    <row r="100" spans="1:13">
      <c r="A100" s="43" t="s">
        <v>162</v>
      </c>
      <c r="B100" s="44" t="s">
        <v>162</v>
      </c>
      <c r="C100" s="44" t="s">
        <v>162</v>
      </c>
      <c r="D100" s="44">
        <v>3</v>
      </c>
      <c r="E100" s="42" t="s">
        <v>172</v>
      </c>
      <c r="F100" s="43">
        <v>274.18</v>
      </c>
      <c r="G100" s="44">
        <v>273.95999999999998</v>
      </c>
      <c r="H100" s="42">
        <v>0.22</v>
      </c>
      <c r="I100" s="42"/>
      <c r="J100" s="42"/>
      <c r="K100" s="42"/>
      <c r="L100" s="42"/>
      <c r="M100" s="42"/>
    </row>
    <row r="101" spans="1:13">
      <c r="A101" s="45" t="s">
        <v>162</v>
      </c>
      <c r="B101" s="46" t="s">
        <v>162</v>
      </c>
      <c r="C101" s="46" t="s">
        <v>162</v>
      </c>
      <c r="D101" s="46">
        <v>4</v>
      </c>
      <c r="E101" s="47" t="s">
        <v>173</v>
      </c>
      <c r="F101" s="45">
        <v>274.24</v>
      </c>
      <c r="G101" s="46">
        <v>274.14999999999998</v>
      </c>
      <c r="H101" s="42">
        <v>0.09</v>
      </c>
      <c r="I101" s="42"/>
      <c r="J101" s="42"/>
      <c r="K101" s="42"/>
      <c r="L101" s="42"/>
      <c r="M101" s="42"/>
    </row>
    <row r="102" spans="1:13">
      <c r="A102" s="43">
        <v>26</v>
      </c>
      <c r="B102" s="44" t="s">
        <v>151</v>
      </c>
      <c r="C102" s="44">
        <v>25.06</v>
      </c>
      <c r="D102" s="44">
        <v>5</v>
      </c>
      <c r="E102" s="42" t="s">
        <v>170</v>
      </c>
      <c r="F102" s="43">
        <v>271.02999999999997</v>
      </c>
      <c r="G102" s="44">
        <v>261.45</v>
      </c>
      <c r="H102" s="42">
        <v>9.58</v>
      </c>
      <c r="I102" s="42"/>
      <c r="J102" s="42"/>
      <c r="K102" s="42"/>
      <c r="L102" s="42"/>
      <c r="M102" s="42"/>
    </row>
    <row r="103" spans="1:13">
      <c r="A103" s="43" t="s">
        <v>162</v>
      </c>
      <c r="B103" s="44" t="s">
        <v>162</v>
      </c>
      <c r="C103" s="44" t="s">
        <v>162</v>
      </c>
      <c r="D103" s="44">
        <v>6</v>
      </c>
      <c r="E103" s="42" t="s">
        <v>171</v>
      </c>
      <c r="F103" s="43">
        <v>291.63</v>
      </c>
      <c r="G103" s="44">
        <v>275.37</v>
      </c>
      <c r="H103" s="42">
        <v>16.260000000000002</v>
      </c>
      <c r="I103" s="42"/>
      <c r="J103" s="42"/>
      <c r="K103" s="42"/>
      <c r="L103" s="42"/>
      <c r="M103" s="42"/>
    </row>
    <row r="104" spans="1:13">
      <c r="A104" s="43" t="s">
        <v>162</v>
      </c>
      <c r="B104" s="44" t="s">
        <v>162</v>
      </c>
      <c r="C104" s="44" t="s">
        <v>162</v>
      </c>
      <c r="D104" s="44">
        <v>7</v>
      </c>
      <c r="E104" s="42" t="s">
        <v>172</v>
      </c>
      <c r="F104" s="43">
        <v>286.17</v>
      </c>
      <c r="G104" s="44">
        <v>285.85000000000002</v>
      </c>
      <c r="H104" s="42">
        <v>0.32</v>
      </c>
      <c r="I104" s="42"/>
      <c r="J104" s="42"/>
      <c r="K104" s="42"/>
      <c r="L104" s="42"/>
      <c r="M104" s="42"/>
    </row>
    <row r="105" spans="1:13">
      <c r="A105" s="45" t="s">
        <v>162</v>
      </c>
      <c r="B105" s="46" t="s">
        <v>162</v>
      </c>
      <c r="C105" s="46" t="s">
        <v>162</v>
      </c>
      <c r="D105" s="46">
        <v>8</v>
      </c>
      <c r="E105" s="47" t="s">
        <v>173</v>
      </c>
      <c r="F105" s="45">
        <v>285.06</v>
      </c>
      <c r="G105" s="46">
        <v>284.82</v>
      </c>
      <c r="H105" s="42">
        <v>0.24</v>
      </c>
      <c r="I105" s="42"/>
      <c r="J105" s="42"/>
      <c r="K105" s="42"/>
      <c r="L105" s="42"/>
      <c r="M105" s="42"/>
    </row>
    <row r="106" spans="1:13">
      <c r="A106" s="43">
        <v>27</v>
      </c>
      <c r="B106" s="44" t="s">
        <v>155</v>
      </c>
      <c r="C106" s="44">
        <v>25.04</v>
      </c>
      <c r="D106" s="44">
        <v>9</v>
      </c>
      <c r="E106" s="42" t="s">
        <v>170</v>
      </c>
      <c r="F106" s="43">
        <v>284.64999999999998</v>
      </c>
      <c r="G106" s="44">
        <v>275.3</v>
      </c>
      <c r="H106" s="42">
        <v>9.35</v>
      </c>
      <c r="I106" s="42"/>
      <c r="J106" s="42"/>
      <c r="K106" s="42"/>
      <c r="L106" s="42"/>
      <c r="M106" s="42"/>
    </row>
    <row r="107" spans="1:13">
      <c r="A107" s="43" t="s">
        <v>162</v>
      </c>
      <c r="B107" s="44" t="s">
        <v>162</v>
      </c>
      <c r="C107" s="44" t="s">
        <v>162</v>
      </c>
      <c r="D107" s="44">
        <v>10</v>
      </c>
      <c r="E107" s="42" t="s">
        <v>171</v>
      </c>
      <c r="F107" s="43">
        <v>280.97000000000003</v>
      </c>
      <c r="G107" s="44">
        <v>274.95999999999998</v>
      </c>
      <c r="H107" s="42">
        <v>6.01</v>
      </c>
      <c r="I107" s="42"/>
      <c r="J107" s="42"/>
      <c r="K107" s="42"/>
      <c r="L107" s="42"/>
      <c r="M107" s="42"/>
    </row>
    <row r="108" spans="1:13">
      <c r="A108" s="43" t="s">
        <v>162</v>
      </c>
      <c r="B108" s="44" t="s">
        <v>162</v>
      </c>
      <c r="C108" s="44" t="s">
        <v>162</v>
      </c>
      <c r="D108" s="44">
        <v>11</v>
      </c>
      <c r="E108" s="42" t="s">
        <v>172</v>
      </c>
      <c r="F108" s="43">
        <v>261.14</v>
      </c>
      <c r="G108" s="44">
        <v>260.93</v>
      </c>
      <c r="H108" s="42">
        <v>0.21</v>
      </c>
      <c r="I108" s="42"/>
      <c r="J108" s="42"/>
      <c r="K108" s="42"/>
      <c r="L108" s="42"/>
      <c r="M108" s="42"/>
    </row>
    <row r="109" spans="1:13">
      <c r="A109" s="45" t="s">
        <v>162</v>
      </c>
      <c r="B109" s="46" t="s">
        <v>162</v>
      </c>
      <c r="C109" s="46" t="s">
        <v>162</v>
      </c>
      <c r="D109" s="46">
        <v>12</v>
      </c>
      <c r="E109" s="47" t="s">
        <v>173</v>
      </c>
      <c r="F109" s="45">
        <v>273.48</v>
      </c>
      <c r="G109" s="46">
        <v>273.36</v>
      </c>
      <c r="H109" s="42">
        <v>0.12</v>
      </c>
      <c r="I109" s="42"/>
      <c r="J109" s="42"/>
      <c r="K109" s="42"/>
      <c r="L109" s="42"/>
      <c r="M109" s="42"/>
    </row>
    <row r="110" spans="1:13">
      <c r="A110" s="43">
        <v>28</v>
      </c>
      <c r="B110" s="44" t="s">
        <v>153</v>
      </c>
      <c r="C110" s="44">
        <v>25.13</v>
      </c>
      <c r="D110" s="44">
        <v>13</v>
      </c>
      <c r="E110" s="42" t="s">
        <v>170</v>
      </c>
      <c r="F110" s="43">
        <v>290.45</v>
      </c>
      <c r="G110" s="44">
        <v>284.07</v>
      </c>
      <c r="H110" s="42">
        <v>6.38</v>
      </c>
      <c r="I110" s="42"/>
      <c r="J110" s="42"/>
      <c r="K110" s="42"/>
      <c r="L110" s="42"/>
      <c r="M110" s="42"/>
    </row>
    <row r="111" spans="1:13">
      <c r="A111" s="43" t="s">
        <v>162</v>
      </c>
      <c r="B111" s="44" t="s">
        <v>162</v>
      </c>
      <c r="C111" s="44" t="s">
        <v>162</v>
      </c>
      <c r="D111" s="44">
        <v>14</v>
      </c>
      <c r="E111" s="42" t="s">
        <v>171</v>
      </c>
      <c r="F111" s="43">
        <v>283.27</v>
      </c>
      <c r="G111" s="44">
        <v>274.41000000000003</v>
      </c>
      <c r="H111" s="42">
        <v>8.86</v>
      </c>
      <c r="I111" s="42"/>
      <c r="J111" s="42"/>
      <c r="K111" s="42"/>
      <c r="L111" s="42"/>
      <c r="M111" s="42"/>
    </row>
    <row r="112" spans="1:13">
      <c r="A112" s="48" t="s">
        <v>162</v>
      </c>
      <c r="B112" s="49" t="s">
        <v>162</v>
      </c>
      <c r="C112" s="49" t="s">
        <v>162</v>
      </c>
      <c r="D112" s="49">
        <v>15</v>
      </c>
      <c r="E112" s="42" t="s">
        <v>172</v>
      </c>
      <c r="F112" s="43">
        <v>286.64</v>
      </c>
      <c r="G112" s="49">
        <v>286.45</v>
      </c>
      <c r="H112" s="42">
        <v>0.19</v>
      </c>
      <c r="I112" s="42"/>
      <c r="J112" s="42"/>
      <c r="K112" s="42"/>
      <c r="L112" s="42"/>
      <c r="M112" s="42"/>
    </row>
    <row r="113" spans="1:13">
      <c r="A113" s="38" t="s">
        <v>162</v>
      </c>
      <c r="B113" s="39" t="s">
        <v>162</v>
      </c>
      <c r="C113" s="39" t="s">
        <v>162</v>
      </c>
      <c r="D113" s="39">
        <v>16</v>
      </c>
      <c r="E113" s="39" t="s">
        <v>173</v>
      </c>
      <c r="F113" s="44">
        <v>275.5</v>
      </c>
      <c r="G113" s="39">
        <v>275.45</v>
      </c>
      <c r="H113" s="42">
        <v>0.05</v>
      </c>
      <c r="I113" s="42"/>
      <c r="J113" s="42"/>
      <c r="K113" s="42"/>
      <c r="L113" s="42"/>
      <c r="M113" s="42"/>
    </row>
    <row r="114" spans="1:13">
      <c r="A114" s="43">
        <v>29</v>
      </c>
      <c r="B114" s="44" t="s">
        <v>154</v>
      </c>
      <c r="C114" s="44">
        <v>25.36</v>
      </c>
      <c r="D114" s="44" t="s">
        <v>83</v>
      </c>
      <c r="E114" s="44" t="s">
        <v>170</v>
      </c>
      <c r="F114" s="44">
        <v>285.69</v>
      </c>
      <c r="G114" s="44">
        <v>273.45999999999998</v>
      </c>
      <c r="H114" s="42">
        <v>12.23</v>
      </c>
      <c r="I114" s="42"/>
      <c r="J114" s="42"/>
      <c r="K114" s="42"/>
      <c r="L114" s="42"/>
      <c r="M114" s="42"/>
    </row>
    <row r="115" spans="1:13">
      <c r="A115" s="43" t="s">
        <v>162</v>
      </c>
      <c r="B115" s="44" t="s">
        <v>162</v>
      </c>
      <c r="C115" s="44" t="s">
        <v>162</v>
      </c>
      <c r="D115" s="44" t="s">
        <v>84</v>
      </c>
      <c r="E115" s="44" t="s">
        <v>171</v>
      </c>
      <c r="F115" s="44">
        <v>289.16000000000003</v>
      </c>
      <c r="G115" s="44">
        <v>286.38</v>
      </c>
      <c r="H115" s="42">
        <v>2.78</v>
      </c>
      <c r="I115" s="42"/>
      <c r="J115" s="42"/>
      <c r="K115" s="42"/>
      <c r="L115" s="42"/>
      <c r="M115" s="42"/>
    </row>
    <row r="116" spans="1:13">
      <c r="A116" s="43" t="s">
        <v>162</v>
      </c>
      <c r="B116" s="44" t="s">
        <v>162</v>
      </c>
      <c r="C116" s="44" t="s">
        <v>162</v>
      </c>
      <c r="D116" s="44" t="s">
        <v>88</v>
      </c>
      <c r="E116" s="44" t="s">
        <v>172</v>
      </c>
      <c r="F116" s="44">
        <v>284.67</v>
      </c>
      <c r="G116" s="44">
        <v>284.45999999999998</v>
      </c>
      <c r="H116" s="42">
        <v>0.21</v>
      </c>
      <c r="I116" s="42"/>
      <c r="J116" s="42"/>
      <c r="K116" s="42"/>
      <c r="L116" s="42"/>
      <c r="M116" s="42"/>
    </row>
    <row r="117" spans="1:13">
      <c r="A117" s="45" t="s">
        <v>162</v>
      </c>
      <c r="B117" s="46" t="s">
        <v>162</v>
      </c>
      <c r="C117" s="46" t="s">
        <v>162</v>
      </c>
      <c r="D117" s="46" t="s">
        <v>86</v>
      </c>
      <c r="E117" s="47" t="s">
        <v>173</v>
      </c>
      <c r="F117" s="45">
        <v>261.45999999999998</v>
      </c>
      <c r="G117" s="46">
        <v>261.32</v>
      </c>
      <c r="H117" s="42">
        <v>0.14000000000000001</v>
      </c>
      <c r="I117" s="42"/>
      <c r="J117" s="42"/>
      <c r="K117" s="42"/>
      <c r="L117" s="42"/>
      <c r="M117" s="42"/>
    </row>
    <row r="118" spans="1:13">
      <c r="A118" s="43">
        <v>30</v>
      </c>
      <c r="B118" s="44" t="s">
        <v>152</v>
      </c>
      <c r="C118" s="44">
        <v>25.04</v>
      </c>
      <c r="D118" s="44" t="s">
        <v>87</v>
      </c>
      <c r="E118" s="42" t="s">
        <v>170</v>
      </c>
      <c r="F118" s="43">
        <v>270.33999999999997</v>
      </c>
      <c r="G118" s="44">
        <v>260.68</v>
      </c>
      <c r="H118" s="42">
        <v>9.66</v>
      </c>
      <c r="I118" s="42"/>
      <c r="J118" s="42"/>
      <c r="K118" s="42"/>
      <c r="L118" s="42"/>
      <c r="M118" s="42"/>
    </row>
    <row r="119" spans="1:13">
      <c r="A119" s="43" t="s">
        <v>162</v>
      </c>
      <c r="B119" s="44" t="s">
        <v>162</v>
      </c>
      <c r="C119" s="44" t="s">
        <v>162</v>
      </c>
      <c r="D119" s="44" t="s">
        <v>85</v>
      </c>
      <c r="E119" s="42" t="s">
        <v>171</v>
      </c>
      <c r="F119" s="43">
        <v>289.82</v>
      </c>
      <c r="G119" s="44">
        <v>284.58999999999997</v>
      </c>
      <c r="H119" s="42">
        <v>5.23</v>
      </c>
      <c r="I119" s="42"/>
      <c r="J119" s="42"/>
      <c r="K119" s="42"/>
      <c r="L119" s="42"/>
      <c r="M119" s="42"/>
    </row>
    <row r="120" spans="1:13">
      <c r="A120" s="43" t="s">
        <v>162</v>
      </c>
      <c r="B120" s="44" t="s">
        <v>162</v>
      </c>
      <c r="C120" s="44" t="s">
        <v>162</v>
      </c>
      <c r="D120" s="44" t="s">
        <v>91</v>
      </c>
      <c r="E120" s="42" t="s">
        <v>172</v>
      </c>
      <c r="F120" s="43">
        <v>284.89</v>
      </c>
      <c r="G120" s="44">
        <v>284.63</v>
      </c>
      <c r="H120" s="42">
        <v>0.26</v>
      </c>
      <c r="I120" s="42"/>
      <c r="J120" s="42"/>
      <c r="K120" s="42"/>
      <c r="L120" s="42"/>
      <c r="M120" s="42"/>
    </row>
    <row r="121" spans="1:13">
      <c r="A121" s="45" t="s">
        <v>162</v>
      </c>
      <c r="B121" s="46" t="s">
        <v>162</v>
      </c>
      <c r="C121" s="46" t="s">
        <v>162</v>
      </c>
      <c r="D121" s="46" t="s">
        <v>93</v>
      </c>
      <c r="E121" s="47" t="s">
        <v>173</v>
      </c>
      <c r="F121" s="45">
        <v>275.19</v>
      </c>
      <c r="G121" s="46">
        <v>275.11</v>
      </c>
      <c r="H121" s="42">
        <v>0.08</v>
      </c>
      <c r="I121" s="42"/>
      <c r="J121" s="42"/>
      <c r="K121" s="42"/>
      <c r="L121" s="42"/>
      <c r="M121" s="42"/>
    </row>
    <row r="122" spans="1:13">
      <c r="A122" s="43">
        <v>31</v>
      </c>
      <c r="B122" s="44" t="s">
        <v>156</v>
      </c>
      <c r="C122" s="44">
        <v>25.11</v>
      </c>
      <c r="D122" s="44" t="s">
        <v>90</v>
      </c>
      <c r="E122" s="42" t="s">
        <v>170</v>
      </c>
      <c r="F122" s="43">
        <v>272.72000000000003</v>
      </c>
      <c r="G122" s="44">
        <v>261.22000000000003</v>
      </c>
      <c r="H122" s="42">
        <v>11.5</v>
      </c>
      <c r="I122" s="42"/>
      <c r="J122" s="42"/>
      <c r="K122" s="42"/>
      <c r="L122" s="42"/>
      <c r="M122" s="42"/>
    </row>
    <row r="123" spans="1:13">
      <c r="A123" s="43" t="s">
        <v>162</v>
      </c>
      <c r="B123" s="44" t="s">
        <v>162</v>
      </c>
      <c r="C123" s="44" t="s">
        <v>162</v>
      </c>
      <c r="D123" s="44" t="s">
        <v>94</v>
      </c>
      <c r="E123" s="42" t="s">
        <v>171</v>
      </c>
      <c r="F123" s="43">
        <v>265.89999999999998</v>
      </c>
      <c r="G123" s="44">
        <v>261.04000000000002</v>
      </c>
      <c r="H123" s="42">
        <v>4.8600000000000003</v>
      </c>
      <c r="I123" s="42"/>
      <c r="J123" s="42"/>
      <c r="K123" s="42"/>
      <c r="L123" s="42"/>
      <c r="M123" s="42"/>
    </row>
    <row r="124" spans="1:13">
      <c r="A124" s="43" t="s">
        <v>162</v>
      </c>
      <c r="B124" s="44" t="s">
        <v>162</v>
      </c>
      <c r="C124" s="44" t="s">
        <v>162</v>
      </c>
      <c r="D124" s="44" t="s">
        <v>89</v>
      </c>
      <c r="E124" s="42" t="s">
        <v>172</v>
      </c>
      <c r="F124" s="43">
        <v>284.73</v>
      </c>
      <c r="G124" s="44">
        <v>284.62</v>
      </c>
      <c r="H124" s="42">
        <v>0.11</v>
      </c>
      <c r="I124" s="42"/>
      <c r="J124" s="42"/>
      <c r="K124" s="42"/>
      <c r="L124" s="42"/>
      <c r="M124" s="42"/>
    </row>
    <row r="125" spans="1:13">
      <c r="A125" s="45" t="s">
        <v>162</v>
      </c>
      <c r="B125" s="46" t="s">
        <v>162</v>
      </c>
      <c r="C125" s="46" t="s">
        <v>162</v>
      </c>
      <c r="D125" s="46" t="s">
        <v>92</v>
      </c>
      <c r="E125" s="47" t="s">
        <v>173</v>
      </c>
      <c r="F125" s="45">
        <v>274.36</v>
      </c>
      <c r="G125" s="46">
        <v>274.32</v>
      </c>
      <c r="H125" s="42">
        <v>0.04</v>
      </c>
      <c r="I125" s="42"/>
      <c r="J125" s="42"/>
      <c r="K125" s="42"/>
      <c r="L125" s="42"/>
      <c r="M125" s="42"/>
    </row>
    <row r="126" spans="1:13">
      <c r="A126" s="43">
        <v>32</v>
      </c>
      <c r="B126" s="44" t="s">
        <v>157</v>
      </c>
      <c r="C126" s="44">
        <v>25.07</v>
      </c>
      <c r="D126" s="44" t="s">
        <v>96</v>
      </c>
      <c r="E126" s="42" t="s">
        <v>170</v>
      </c>
      <c r="F126" s="43">
        <v>290.33999999999997</v>
      </c>
      <c r="G126" s="44">
        <v>287.55</v>
      </c>
      <c r="H126" s="42">
        <v>2.79</v>
      </c>
      <c r="I126" s="42"/>
      <c r="J126" s="42"/>
      <c r="K126" s="42"/>
      <c r="L126" s="42"/>
      <c r="M126" s="42"/>
    </row>
    <row r="127" spans="1:13">
      <c r="A127" s="43" t="s">
        <v>162</v>
      </c>
      <c r="B127" s="44" t="s">
        <v>162</v>
      </c>
      <c r="C127" s="44" t="s">
        <v>162</v>
      </c>
      <c r="D127" s="44" t="s">
        <v>100</v>
      </c>
      <c r="E127" s="42" t="s">
        <v>171</v>
      </c>
      <c r="F127" s="43">
        <v>290.08</v>
      </c>
      <c r="G127" s="44">
        <v>285.43</v>
      </c>
      <c r="H127" s="42">
        <v>4.6500000000000004</v>
      </c>
      <c r="I127" s="42"/>
      <c r="J127" s="42"/>
      <c r="K127" s="42"/>
      <c r="L127" s="42"/>
      <c r="M127" s="42"/>
    </row>
    <row r="128" spans="1:13">
      <c r="A128" s="43" t="s">
        <v>162</v>
      </c>
      <c r="B128" s="44" t="s">
        <v>162</v>
      </c>
      <c r="C128" s="44" t="s">
        <v>162</v>
      </c>
      <c r="D128" s="44" t="s">
        <v>95</v>
      </c>
      <c r="E128" s="42" t="s">
        <v>172</v>
      </c>
      <c r="F128" s="43">
        <v>275.73</v>
      </c>
      <c r="G128" s="44">
        <v>275.18</v>
      </c>
      <c r="H128" s="42">
        <v>0.55000000000000004</v>
      </c>
      <c r="I128" s="42"/>
      <c r="J128" s="42"/>
      <c r="K128" s="42"/>
      <c r="L128" s="42"/>
      <c r="M128" s="42"/>
    </row>
    <row r="129" spans="1:13">
      <c r="A129" s="45" t="s">
        <v>162</v>
      </c>
      <c r="B129" s="46" t="s">
        <v>162</v>
      </c>
      <c r="C129" s="46" t="s">
        <v>162</v>
      </c>
      <c r="D129" s="46" t="s">
        <v>98</v>
      </c>
      <c r="E129" s="47" t="s">
        <v>173</v>
      </c>
      <c r="F129" s="45">
        <v>275.89999999999998</v>
      </c>
      <c r="G129" s="46">
        <v>275.43</v>
      </c>
      <c r="H129" s="42">
        <v>0.47</v>
      </c>
      <c r="I129" s="42"/>
      <c r="J129" s="42"/>
      <c r="K129" s="42"/>
      <c r="L129" s="42"/>
      <c r="M129" s="42"/>
    </row>
    <row r="130" spans="1:13">
      <c r="A130" s="43">
        <v>33</v>
      </c>
      <c r="B130" s="50" t="s">
        <v>158</v>
      </c>
      <c r="C130" s="44">
        <v>25.36</v>
      </c>
      <c r="D130" s="44">
        <v>1</v>
      </c>
      <c r="E130" s="44" t="s">
        <v>170</v>
      </c>
      <c r="F130" s="44">
        <v>268.89999999999998</v>
      </c>
      <c r="G130" s="44">
        <v>260.88</v>
      </c>
      <c r="H130" s="42">
        <v>8.02</v>
      </c>
      <c r="I130" s="42"/>
      <c r="J130" s="42"/>
      <c r="K130" s="42"/>
      <c r="L130" s="42"/>
      <c r="M130" s="42"/>
    </row>
    <row r="131" spans="1:13">
      <c r="A131" s="43" t="s">
        <v>162</v>
      </c>
      <c r="B131" s="44" t="s">
        <v>162</v>
      </c>
      <c r="C131" s="44" t="s">
        <v>162</v>
      </c>
      <c r="D131" s="44">
        <v>2</v>
      </c>
      <c r="E131" s="44" t="s">
        <v>171</v>
      </c>
      <c r="F131" s="44">
        <v>268.5</v>
      </c>
      <c r="G131" s="44">
        <v>261.10000000000002</v>
      </c>
      <c r="H131" s="42">
        <v>7.4</v>
      </c>
      <c r="I131" s="42"/>
      <c r="J131" s="42"/>
      <c r="K131" s="42"/>
      <c r="L131" s="42"/>
      <c r="M131" s="42"/>
    </row>
    <row r="132" spans="1:13">
      <c r="A132" s="43" t="s">
        <v>162</v>
      </c>
      <c r="B132" s="44" t="s">
        <v>162</v>
      </c>
      <c r="C132" s="44" t="s">
        <v>162</v>
      </c>
      <c r="D132" s="44">
        <v>3</v>
      </c>
      <c r="E132" s="44" t="s">
        <v>172</v>
      </c>
      <c r="F132" s="44">
        <v>274.3</v>
      </c>
      <c r="G132" s="44">
        <v>273.52</v>
      </c>
      <c r="H132" s="42">
        <v>0.78</v>
      </c>
      <c r="I132" s="42"/>
      <c r="J132" s="42"/>
      <c r="K132" s="42"/>
      <c r="L132" s="42"/>
      <c r="M132" s="42"/>
    </row>
    <row r="133" spans="1:13">
      <c r="A133" s="45" t="s">
        <v>162</v>
      </c>
      <c r="B133" s="46" t="s">
        <v>162</v>
      </c>
      <c r="C133" s="46" t="s">
        <v>162</v>
      </c>
      <c r="D133" s="46">
        <v>4</v>
      </c>
      <c r="E133" s="47" t="s">
        <v>173</v>
      </c>
      <c r="F133" s="45">
        <v>274.44</v>
      </c>
      <c r="G133" s="46">
        <v>273.85000000000002</v>
      </c>
      <c r="H133" s="42">
        <v>0.59</v>
      </c>
      <c r="I133" s="42"/>
      <c r="J133" s="42"/>
      <c r="K133" s="42"/>
      <c r="L133" s="42"/>
      <c r="M133" s="42"/>
    </row>
    <row r="134" spans="1:13">
      <c r="A134" s="43">
        <v>34</v>
      </c>
      <c r="B134" s="50" t="s">
        <v>159</v>
      </c>
      <c r="C134" s="44">
        <v>25.04</v>
      </c>
      <c r="D134" s="44">
        <v>5</v>
      </c>
      <c r="E134" s="42" t="s">
        <v>170</v>
      </c>
      <c r="F134" s="45">
        <v>271.64999999999998</v>
      </c>
      <c r="G134" s="44">
        <v>261.52</v>
      </c>
      <c r="H134" s="42">
        <v>10.130000000000001</v>
      </c>
      <c r="I134" s="42"/>
      <c r="J134" s="42"/>
      <c r="K134" s="42"/>
      <c r="L134" s="42"/>
      <c r="M134" s="42"/>
    </row>
    <row r="135" spans="1:13">
      <c r="A135" s="43" t="s">
        <v>162</v>
      </c>
      <c r="B135" s="44" t="s">
        <v>162</v>
      </c>
      <c r="C135" s="44" t="s">
        <v>162</v>
      </c>
      <c r="D135" s="44">
        <v>6</v>
      </c>
      <c r="E135" s="42" t="s">
        <v>171</v>
      </c>
      <c r="F135" s="51">
        <v>281.56</v>
      </c>
      <c r="G135" s="44">
        <v>275.2</v>
      </c>
      <c r="H135" s="42">
        <v>6.36</v>
      </c>
      <c r="I135" s="42"/>
      <c r="J135" s="42"/>
      <c r="K135" s="42"/>
      <c r="L135" s="42"/>
      <c r="M135" s="42"/>
    </row>
    <row r="136" spans="1:13">
      <c r="A136" s="43" t="s">
        <v>162</v>
      </c>
      <c r="B136" s="44" t="s">
        <v>162</v>
      </c>
      <c r="C136" s="44" t="s">
        <v>162</v>
      </c>
      <c r="D136" s="44">
        <v>7</v>
      </c>
      <c r="E136" s="42" t="s">
        <v>172</v>
      </c>
      <c r="F136" s="43">
        <v>286.27</v>
      </c>
      <c r="G136" s="44">
        <v>285.79000000000002</v>
      </c>
      <c r="H136" s="42">
        <v>0.48</v>
      </c>
      <c r="I136" s="42"/>
      <c r="J136" s="42"/>
      <c r="K136" s="42"/>
      <c r="L136" s="42"/>
      <c r="M136" s="42"/>
    </row>
    <row r="137" spans="1:13">
      <c r="A137" s="45" t="s">
        <v>162</v>
      </c>
      <c r="B137" s="46" t="s">
        <v>162</v>
      </c>
      <c r="C137" s="46" t="s">
        <v>162</v>
      </c>
      <c r="D137" s="46">
        <v>8</v>
      </c>
      <c r="E137" s="47" t="s">
        <v>173</v>
      </c>
      <c r="F137" s="45">
        <v>284.92</v>
      </c>
      <c r="G137" s="46">
        <v>284.64</v>
      </c>
      <c r="H137" s="42">
        <v>0.28000000000000003</v>
      </c>
      <c r="I137" s="42"/>
      <c r="J137" s="42"/>
      <c r="K137" s="42"/>
      <c r="L137" s="42"/>
      <c r="M137" s="42"/>
    </row>
    <row r="138" spans="1:13">
      <c r="A138" s="43">
        <v>35</v>
      </c>
      <c r="B138" s="50" t="s">
        <v>160</v>
      </c>
      <c r="C138" s="44">
        <v>25.11</v>
      </c>
      <c r="D138" s="44">
        <v>9</v>
      </c>
      <c r="E138" s="42" t="s">
        <v>170</v>
      </c>
      <c r="F138" s="43">
        <v>285.83</v>
      </c>
      <c r="G138" s="44">
        <v>275.18</v>
      </c>
      <c r="H138" s="42">
        <v>10.65</v>
      </c>
      <c r="I138" s="42"/>
      <c r="J138" s="42"/>
      <c r="K138" s="42"/>
      <c r="L138" s="42"/>
      <c r="M138" s="42"/>
    </row>
    <row r="139" spans="1:13">
      <c r="A139" s="43" t="s">
        <v>162</v>
      </c>
      <c r="B139" s="44" t="s">
        <v>162</v>
      </c>
      <c r="C139" s="44" t="s">
        <v>162</v>
      </c>
      <c r="D139" s="44">
        <v>10</v>
      </c>
      <c r="E139" s="42" t="s">
        <v>171</v>
      </c>
      <c r="F139" s="43">
        <v>280.52999999999997</v>
      </c>
      <c r="G139" s="44">
        <v>274.67</v>
      </c>
      <c r="H139" s="42">
        <v>5.86</v>
      </c>
      <c r="I139" s="42"/>
      <c r="J139" s="42"/>
      <c r="K139" s="42"/>
      <c r="L139" s="42"/>
      <c r="M139" s="42"/>
    </row>
    <row r="140" spans="1:13">
      <c r="A140" s="43" t="s">
        <v>162</v>
      </c>
      <c r="B140" s="44" t="s">
        <v>162</v>
      </c>
      <c r="C140" s="44" t="s">
        <v>162</v>
      </c>
      <c r="D140" s="44">
        <v>11</v>
      </c>
      <c r="E140" s="42" t="s">
        <v>172</v>
      </c>
      <c r="F140" s="43">
        <v>261.13</v>
      </c>
      <c r="G140" s="44">
        <v>260.55</v>
      </c>
      <c r="H140" s="42">
        <v>0.57999999999999996</v>
      </c>
      <c r="I140" s="42"/>
      <c r="J140" s="42"/>
      <c r="K140" s="42"/>
      <c r="L140" s="42"/>
      <c r="M140" s="42"/>
    </row>
    <row r="141" spans="1:13">
      <c r="A141" s="45" t="s">
        <v>162</v>
      </c>
      <c r="B141" s="46" t="s">
        <v>162</v>
      </c>
      <c r="C141" s="46" t="s">
        <v>162</v>
      </c>
      <c r="D141" s="46">
        <v>12</v>
      </c>
      <c r="E141" s="47" t="s">
        <v>173</v>
      </c>
      <c r="F141" s="45">
        <v>273.37</v>
      </c>
      <c r="G141" s="46">
        <v>273.26</v>
      </c>
      <c r="H141" s="42">
        <v>0.11</v>
      </c>
      <c r="I141" s="42"/>
      <c r="J141" s="42"/>
      <c r="K141" s="42"/>
      <c r="L141" s="42"/>
      <c r="M141" s="42"/>
    </row>
    <row r="142" spans="1:13">
      <c r="A142" s="43">
        <v>36</v>
      </c>
      <c r="B142" s="50" t="s">
        <v>161</v>
      </c>
      <c r="C142" s="44">
        <v>25.07</v>
      </c>
      <c r="D142" s="44">
        <v>13</v>
      </c>
      <c r="E142" s="42" t="s">
        <v>170</v>
      </c>
      <c r="F142" s="51">
        <v>295.26</v>
      </c>
      <c r="G142" s="44">
        <v>284.22000000000003</v>
      </c>
      <c r="H142" s="42">
        <v>11.04</v>
      </c>
      <c r="I142" s="42"/>
      <c r="J142" s="42"/>
      <c r="K142" s="42"/>
      <c r="L142" s="42"/>
      <c r="M142" s="42"/>
    </row>
    <row r="143" spans="1:13">
      <c r="A143" s="43" t="s">
        <v>162</v>
      </c>
      <c r="B143" s="44" t="s">
        <v>162</v>
      </c>
      <c r="C143" s="44" t="s">
        <v>162</v>
      </c>
      <c r="D143" s="44">
        <v>14</v>
      </c>
      <c r="E143" s="42" t="s">
        <v>171</v>
      </c>
      <c r="F143" s="43">
        <v>278.63</v>
      </c>
      <c r="G143" s="44">
        <v>273.75</v>
      </c>
      <c r="H143" s="42">
        <v>4.88</v>
      </c>
      <c r="I143" s="42"/>
      <c r="J143" s="42"/>
      <c r="K143" s="42"/>
      <c r="L143" s="42"/>
      <c r="M143" s="42"/>
    </row>
    <row r="144" spans="1:13">
      <c r="A144" s="43" t="s">
        <v>162</v>
      </c>
      <c r="B144" s="44" t="s">
        <v>162</v>
      </c>
      <c r="C144" s="44" t="s">
        <v>162</v>
      </c>
      <c r="D144" s="44">
        <v>15</v>
      </c>
      <c r="E144" s="42" t="s">
        <v>172</v>
      </c>
      <c r="F144" s="43">
        <v>286.22000000000003</v>
      </c>
      <c r="G144" s="44">
        <v>285.86</v>
      </c>
      <c r="H144" s="42">
        <v>0.36</v>
      </c>
      <c r="I144" s="42"/>
      <c r="J144" s="42"/>
      <c r="K144" s="42"/>
      <c r="L144" s="42"/>
      <c r="M144" s="42"/>
    </row>
    <row r="145" spans="1:13">
      <c r="A145" s="45" t="s">
        <v>162</v>
      </c>
      <c r="B145" s="46" t="s">
        <v>162</v>
      </c>
      <c r="C145" s="46" t="s">
        <v>162</v>
      </c>
      <c r="D145" s="46">
        <v>16</v>
      </c>
      <c r="E145" s="47" t="s">
        <v>173</v>
      </c>
      <c r="F145" s="45">
        <v>275.23</v>
      </c>
      <c r="G145" s="46">
        <v>275.19</v>
      </c>
      <c r="H145" s="42">
        <v>0.04</v>
      </c>
      <c r="I145" s="42"/>
      <c r="J145" s="42"/>
      <c r="K145" s="42"/>
      <c r="L145" s="42"/>
      <c r="M145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6908-C8A8-46B9-9144-A35A42E526A1}">
  <dimension ref="A1:J17"/>
  <sheetViews>
    <sheetView zoomScale="70" zoomScaleNormal="70" workbookViewId="0">
      <selection activeCell="G1" sqref="G1:J13"/>
    </sheetView>
  </sheetViews>
  <sheetFormatPr defaultRowHeight="15"/>
  <cols>
    <col min="1" max="1" width="14" style="5" customWidth="1"/>
    <col min="2" max="5" width="9.140625" style="5"/>
  </cols>
  <sheetData>
    <row r="1" spans="1:10" ht="75.75" thickBot="1">
      <c r="A1" s="1" t="s">
        <v>1</v>
      </c>
      <c r="B1" s="1" t="s">
        <v>75</v>
      </c>
      <c r="C1" s="2" t="s">
        <v>76</v>
      </c>
      <c r="D1" s="2" t="s">
        <v>77</v>
      </c>
      <c r="E1" s="2" t="s">
        <v>109</v>
      </c>
      <c r="G1" s="1" t="s">
        <v>75</v>
      </c>
      <c r="H1" s="2" t="s">
        <v>76</v>
      </c>
      <c r="I1" s="2" t="s">
        <v>77</v>
      </c>
      <c r="J1" s="2" t="s">
        <v>109</v>
      </c>
    </row>
    <row r="2" spans="1:10" ht="15.75" thickBot="1">
      <c r="A2" s="29" t="s">
        <v>110</v>
      </c>
      <c r="B2" s="5" t="s">
        <v>127</v>
      </c>
      <c r="C2" s="5">
        <v>1.29</v>
      </c>
      <c r="D2" s="5">
        <v>2.79</v>
      </c>
      <c r="E2" s="5">
        <v>3.4104000000000001</v>
      </c>
    </row>
    <row r="3" spans="1:10" ht="15.75" thickBot="1">
      <c r="A3" s="29" t="s">
        <v>112</v>
      </c>
      <c r="B3" s="5" t="s">
        <v>129</v>
      </c>
      <c r="C3" s="5">
        <v>1.28</v>
      </c>
      <c r="D3" s="5">
        <v>2.37</v>
      </c>
      <c r="E3" s="5">
        <v>2.9557000000000002</v>
      </c>
    </row>
    <row r="4" spans="1:10" ht="15.75" thickBot="1">
      <c r="A4" s="29" t="s">
        <v>114</v>
      </c>
      <c r="B4" s="5" t="s">
        <v>131</v>
      </c>
      <c r="C4" s="5">
        <v>1.29</v>
      </c>
      <c r="D4" s="5">
        <v>3.55</v>
      </c>
      <c r="E4" s="5">
        <v>3.8212000000000002</v>
      </c>
      <c r="G4" s="5">
        <v>4</v>
      </c>
      <c r="H4" s="5">
        <v>1.2861</v>
      </c>
      <c r="I4" s="5">
        <v>2.81</v>
      </c>
      <c r="J4" s="5">
        <v>3.4819</v>
      </c>
    </row>
    <row r="5" spans="1:10">
      <c r="A5" s="29" t="s">
        <v>116</v>
      </c>
      <c r="B5" s="5" t="s">
        <v>133</v>
      </c>
      <c r="C5" s="5">
        <v>1.3</v>
      </c>
      <c r="D5" s="5">
        <v>3.22</v>
      </c>
      <c r="E5" s="5">
        <v>3.8239000000000001</v>
      </c>
    </row>
    <row r="6" spans="1:10">
      <c r="A6" s="5" t="s">
        <v>118</v>
      </c>
      <c r="B6" s="5" t="s">
        <v>174</v>
      </c>
      <c r="C6" s="5">
        <v>1.29</v>
      </c>
      <c r="D6" s="5">
        <v>3.25</v>
      </c>
      <c r="E6" s="5">
        <v>3.9992999999999999</v>
      </c>
    </row>
    <row r="7" spans="1:10">
      <c r="A7" s="5" t="s">
        <v>120</v>
      </c>
      <c r="B7" s="5" t="s">
        <v>175</v>
      </c>
      <c r="C7" s="5">
        <v>1.28</v>
      </c>
      <c r="D7" s="5">
        <v>3.67</v>
      </c>
      <c r="E7" s="5">
        <v>3.8658000000000001</v>
      </c>
    </row>
    <row r="8" spans="1:10">
      <c r="A8" s="5" t="s">
        <v>122</v>
      </c>
      <c r="B8" s="5" t="s">
        <v>176</v>
      </c>
      <c r="C8" s="5">
        <v>1.28</v>
      </c>
      <c r="D8" s="5">
        <v>3.28</v>
      </c>
      <c r="E8" s="5">
        <v>3.8246000000000002</v>
      </c>
    </row>
    <row r="9" spans="1:10" ht="15.75" thickBot="1">
      <c r="A9" s="5" t="s">
        <v>124</v>
      </c>
      <c r="B9" s="5" t="s">
        <v>177</v>
      </c>
      <c r="C9" s="5">
        <v>1.29</v>
      </c>
      <c r="D9" s="5">
        <v>3.41</v>
      </c>
      <c r="E9" s="5">
        <v>4.0797999999999996</v>
      </c>
    </row>
    <row r="10" spans="1:10" ht="15.75" thickBot="1">
      <c r="A10" s="29" t="s">
        <v>126</v>
      </c>
      <c r="B10" s="5" t="s">
        <v>178</v>
      </c>
      <c r="C10" s="5">
        <v>1.72</v>
      </c>
      <c r="D10" s="5">
        <v>3.29</v>
      </c>
      <c r="E10" s="5">
        <v>4.4227999999999996</v>
      </c>
      <c r="G10" s="5">
        <v>1</v>
      </c>
      <c r="H10" s="5">
        <v>1.2851999999999999</v>
      </c>
      <c r="I10" s="5">
        <v>2.57</v>
      </c>
      <c r="J10" s="5">
        <v>3.4315000000000002</v>
      </c>
    </row>
    <row r="11" spans="1:10" ht="15.75" thickBot="1">
      <c r="A11" s="29" t="s">
        <v>128</v>
      </c>
      <c r="B11" s="5" t="s">
        <v>179</v>
      </c>
      <c r="C11" s="5">
        <v>1.7</v>
      </c>
      <c r="D11" s="5">
        <v>3.48</v>
      </c>
      <c r="E11" s="5">
        <v>4.6254</v>
      </c>
      <c r="G11" s="5">
        <v>2</v>
      </c>
      <c r="H11" s="5">
        <v>1.2861</v>
      </c>
      <c r="I11" s="5">
        <v>2.91</v>
      </c>
      <c r="J11" s="5">
        <v>3.7894000000000001</v>
      </c>
    </row>
    <row r="12" spans="1:10" ht="15.75" thickBot="1">
      <c r="A12" s="29" t="s">
        <v>130</v>
      </c>
      <c r="B12" s="5" t="s">
        <v>180</v>
      </c>
      <c r="C12" s="5">
        <v>1.64</v>
      </c>
      <c r="D12" s="5">
        <v>3.54</v>
      </c>
      <c r="E12" s="5">
        <v>4.3185000000000002</v>
      </c>
      <c r="G12" s="5">
        <v>3</v>
      </c>
      <c r="H12" s="5">
        <v>1.2922</v>
      </c>
      <c r="I12" s="5">
        <v>2.21</v>
      </c>
      <c r="J12" s="5">
        <v>3.0007999999999999</v>
      </c>
    </row>
    <row r="13" spans="1:10">
      <c r="A13" s="29" t="s">
        <v>132</v>
      </c>
      <c r="B13" s="5" t="s">
        <v>181</v>
      </c>
      <c r="C13" s="5">
        <v>1.67</v>
      </c>
      <c r="D13" s="5">
        <v>3.09</v>
      </c>
      <c r="E13" s="5">
        <v>4.0484</v>
      </c>
    </row>
    <row r="17" spans="10:10">
      <c r="J17" s="5">
        <v>2.6692999999999998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3939-1920-4E04-A6FD-8DD3F6DB11FD}">
  <dimension ref="A1:Q65"/>
  <sheetViews>
    <sheetView zoomScale="75" workbookViewId="0">
      <selection sqref="A1:G1048576"/>
    </sheetView>
  </sheetViews>
  <sheetFormatPr defaultRowHeight="15"/>
  <cols>
    <col min="1" max="1" width="16.5703125" style="5" customWidth="1"/>
    <col min="2" max="2" width="9.5703125" customWidth="1"/>
    <col min="11" max="11" width="12.140625" customWidth="1"/>
  </cols>
  <sheetData>
    <row r="1" spans="1:17" ht="45.75" thickBot="1">
      <c r="A1" s="5" t="s">
        <v>163</v>
      </c>
      <c r="B1" s="28" t="s">
        <v>164</v>
      </c>
      <c r="C1" s="28" t="s">
        <v>165</v>
      </c>
      <c r="D1" s="5" t="s">
        <v>166</v>
      </c>
      <c r="E1" s="28" t="s">
        <v>167</v>
      </c>
      <c r="F1" s="28" t="s">
        <v>168</v>
      </c>
      <c r="G1" s="28" t="s">
        <v>169</v>
      </c>
      <c r="H1" s="28"/>
      <c r="J1" s="5"/>
      <c r="K1" s="5"/>
      <c r="L1" s="28"/>
      <c r="M1" s="28"/>
      <c r="N1" s="5"/>
      <c r="O1" s="28"/>
      <c r="P1" s="28"/>
      <c r="Q1" s="28"/>
    </row>
    <row r="2" spans="1:17">
      <c r="A2" s="29" t="s">
        <v>110</v>
      </c>
      <c r="B2" s="12">
        <v>25.117999999999999</v>
      </c>
      <c r="C2" s="12">
        <v>1</v>
      </c>
      <c r="D2" s="12" t="s">
        <v>170</v>
      </c>
      <c r="E2" s="12">
        <v>274.55</v>
      </c>
      <c r="F2" s="12">
        <v>267.45999999999998</v>
      </c>
      <c r="G2" s="5">
        <f>E2-F2</f>
        <v>7.0900000000000318</v>
      </c>
      <c r="H2" s="5"/>
      <c r="J2" s="5"/>
      <c r="K2" s="5"/>
      <c r="L2" s="5"/>
      <c r="M2" s="5"/>
      <c r="N2" s="5"/>
      <c r="O2" s="5"/>
      <c r="P2" s="5"/>
      <c r="Q2" s="5"/>
    </row>
    <row r="3" spans="1:17">
      <c r="A3" s="30"/>
      <c r="B3" s="5"/>
      <c r="C3" s="5">
        <v>2</v>
      </c>
      <c r="D3" s="5" t="s">
        <v>171</v>
      </c>
      <c r="E3" s="5">
        <v>266.52</v>
      </c>
      <c r="F3" s="5">
        <v>264.07</v>
      </c>
      <c r="G3" s="5">
        <f t="shared" ref="G3:G65" si="0">E3-F3</f>
        <v>2.4499999999999886</v>
      </c>
      <c r="H3" s="5"/>
      <c r="J3" s="5"/>
      <c r="K3" s="5"/>
      <c r="L3" s="5"/>
      <c r="M3" s="5"/>
      <c r="N3" s="5"/>
      <c r="O3" s="5"/>
      <c r="P3" s="5"/>
      <c r="Q3" s="5"/>
    </row>
    <row r="4" spans="1:17">
      <c r="A4" s="30"/>
      <c r="B4" s="5"/>
      <c r="C4" s="5">
        <v>3</v>
      </c>
      <c r="D4" s="5" t="s">
        <v>172</v>
      </c>
      <c r="E4" s="5">
        <v>283.24</v>
      </c>
      <c r="F4" s="5">
        <v>283.19</v>
      </c>
      <c r="G4" s="5">
        <f t="shared" si="0"/>
        <v>5.0000000000011369E-2</v>
      </c>
      <c r="H4" s="5"/>
      <c r="J4" s="5"/>
      <c r="K4" s="5"/>
      <c r="L4" s="5"/>
      <c r="M4" s="5"/>
      <c r="N4" s="5"/>
      <c r="O4" s="5"/>
      <c r="P4" s="5"/>
      <c r="Q4" s="5"/>
    </row>
    <row r="5" spans="1:17" ht="15.75" thickBot="1">
      <c r="A5" s="31"/>
      <c r="B5" s="19"/>
      <c r="C5" s="19">
        <v>4</v>
      </c>
      <c r="D5" s="19" t="s">
        <v>173</v>
      </c>
      <c r="E5" s="19">
        <v>274.02</v>
      </c>
      <c r="F5" s="19">
        <v>273.98</v>
      </c>
      <c r="G5" s="5">
        <f t="shared" si="0"/>
        <v>3.999999999996362E-2</v>
      </c>
      <c r="H5" s="5"/>
      <c r="J5" s="5"/>
      <c r="K5" s="5"/>
      <c r="L5" s="5"/>
      <c r="M5" s="5"/>
      <c r="N5" s="5"/>
      <c r="O5" s="5"/>
      <c r="P5" s="5"/>
      <c r="Q5" s="5"/>
    </row>
    <row r="6" spans="1:17">
      <c r="A6" s="29" t="s">
        <v>112</v>
      </c>
      <c r="B6" s="12">
        <v>25.0228</v>
      </c>
      <c r="C6" s="12">
        <v>5</v>
      </c>
      <c r="D6" s="12" t="s">
        <v>170</v>
      </c>
      <c r="E6" s="12">
        <v>293.92</v>
      </c>
      <c r="F6" s="12">
        <v>288.52999999999997</v>
      </c>
      <c r="G6" s="5">
        <f t="shared" si="0"/>
        <v>5.3900000000000432</v>
      </c>
      <c r="H6" s="5"/>
      <c r="J6" s="5"/>
      <c r="K6" s="5"/>
      <c r="L6" s="5"/>
      <c r="M6" s="5"/>
      <c r="N6" s="5"/>
      <c r="O6" s="5"/>
      <c r="P6" s="5"/>
      <c r="Q6" s="5"/>
    </row>
    <row r="7" spans="1:17">
      <c r="A7" s="30"/>
      <c r="B7" s="5"/>
      <c r="C7" s="5">
        <v>6</v>
      </c>
      <c r="D7" s="5" t="s">
        <v>171</v>
      </c>
      <c r="E7" s="5">
        <v>291.37</v>
      </c>
      <c r="F7" s="5">
        <v>289.91000000000003</v>
      </c>
      <c r="G7" s="5">
        <f t="shared" si="0"/>
        <v>1.4599999999999795</v>
      </c>
      <c r="H7" s="5"/>
      <c r="J7" s="5"/>
      <c r="K7" s="5"/>
      <c r="L7" s="5"/>
      <c r="M7" s="5"/>
      <c r="N7" s="5"/>
      <c r="O7" s="5"/>
      <c r="P7" s="5"/>
      <c r="Q7" s="5"/>
    </row>
    <row r="8" spans="1:17">
      <c r="A8" s="30"/>
      <c r="B8" s="5"/>
      <c r="C8" s="5">
        <v>7</v>
      </c>
      <c r="D8" s="5" t="s">
        <v>172</v>
      </c>
      <c r="E8" s="5">
        <v>273.22000000000003</v>
      </c>
      <c r="F8" s="5">
        <v>284.62</v>
      </c>
      <c r="G8" s="5">
        <f t="shared" si="0"/>
        <v>-11.399999999999977</v>
      </c>
      <c r="H8" s="5"/>
      <c r="J8" s="5"/>
      <c r="K8" s="5"/>
      <c r="L8" s="5"/>
      <c r="M8" s="5"/>
      <c r="N8" s="5"/>
      <c r="O8" s="5"/>
      <c r="P8" s="5"/>
      <c r="Q8" s="5"/>
    </row>
    <row r="9" spans="1:17" ht="15.75" thickBot="1">
      <c r="A9" s="31"/>
      <c r="B9" s="19"/>
      <c r="C9" s="19">
        <v>8</v>
      </c>
      <c r="D9" s="19" t="s">
        <v>173</v>
      </c>
      <c r="E9" s="19">
        <v>284.95999999999998</v>
      </c>
      <c r="F9" s="19">
        <v>284.92</v>
      </c>
      <c r="G9" s="5">
        <f t="shared" si="0"/>
        <v>3.999999999996362E-2</v>
      </c>
      <c r="H9" s="5"/>
      <c r="J9" s="5"/>
      <c r="K9" s="5"/>
      <c r="L9" s="5"/>
      <c r="M9" s="5"/>
      <c r="N9" s="5"/>
      <c r="O9" s="5"/>
      <c r="P9" s="5"/>
      <c r="Q9" s="5"/>
    </row>
    <row r="10" spans="1:17">
      <c r="A10" s="29" t="s">
        <v>114</v>
      </c>
      <c r="B10" s="12">
        <v>25.066199999999998</v>
      </c>
      <c r="C10" s="12">
        <v>9</v>
      </c>
      <c r="D10" s="12" t="s">
        <v>170</v>
      </c>
      <c r="E10" s="12">
        <v>286.77999999999997</v>
      </c>
      <c r="F10" s="12">
        <v>283.02</v>
      </c>
      <c r="G10" s="5">
        <f t="shared" si="0"/>
        <v>3.7599999999999909</v>
      </c>
      <c r="H10" s="5"/>
      <c r="J10" s="5"/>
      <c r="K10" s="5"/>
      <c r="L10" s="5"/>
      <c r="M10" s="5"/>
      <c r="N10" s="5"/>
      <c r="O10" s="5"/>
      <c r="P10" s="5"/>
      <c r="Q10" s="5"/>
    </row>
    <row r="11" spans="1:17">
      <c r="A11" s="30"/>
      <c r="B11" s="5"/>
      <c r="C11" s="5">
        <v>10</v>
      </c>
      <c r="D11" s="5" t="s">
        <v>171</v>
      </c>
      <c r="E11" s="5">
        <v>278.95</v>
      </c>
      <c r="F11" s="5">
        <v>277.88</v>
      </c>
      <c r="G11" s="5">
        <f t="shared" si="0"/>
        <v>1.0699999999999932</v>
      </c>
      <c r="H11" s="5"/>
      <c r="J11" s="5"/>
      <c r="K11" s="5"/>
      <c r="L11" s="5"/>
      <c r="M11" s="5"/>
      <c r="N11" s="5"/>
      <c r="O11" s="5"/>
      <c r="P11" s="5"/>
      <c r="Q11" s="5"/>
    </row>
    <row r="12" spans="1:17">
      <c r="A12" s="30"/>
      <c r="B12" s="5"/>
      <c r="C12" s="5">
        <v>11</v>
      </c>
      <c r="D12" s="5" t="s">
        <v>172</v>
      </c>
      <c r="E12" s="5">
        <v>261.02999999999997</v>
      </c>
      <c r="F12" s="5">
        <v>260.94</v>
      </c>
      <c r="G12" s="5">
        <f t="shared" si="0"/>
        <v>8.9999999999974989E-2</v>
      </c>
      <c r="H12" s="5"/>
      <c r="J12" s="5"/>
      <c r="K12" s="5"/>
      <c r="L12" s="5"/>
      <c r="M12" s="5"/>
      <c r="N12" s="5"/>
      <c r="O12" s="5"/>
      <c r="P12" s="5"/>
      <c r="Q12" s="5"/>
    </row>
    <row r="13" spans="1:17" ht="15.75" thickBot="1">
      <c r="A13" s="31"/>
      <c r="B13" s="19"/>
      <c r="C13" s="19">
        <v>12</v>
      </c>
      <c r="D13" s="19" t="s">
        <v>173</v>
      </c>
      <c r="E13" s="19">
        <v>292.39999999999998</v>
      </c>
      <c r="F13" s="19">
        <v>273.2</v>
      </c>
      <c r="G13" s="5">
        <f t="shared" si="0"/>
        <v>19.199999999999989</v>
      </c>
      <c r="H13" s="5"/>
      <c r="J13" s="5"/>
      <c r="K13" s="5"/>
      <c r="L13" s="5"/>
      <c r="M13" s="5"/>
      <c r="N13" s="5"/>
      <c r="O13" s="5"/>
      <c r="P13" s="5"/>
      <c r="Q13" s="5"/>
    </row>
    <row r="14" spans="1:17">
      <c r="A14" s="29" t="s">
        <v>116</v>
      </c>
      <c r="B14" s="12">
        <v>25.001300000000001</v>
      </c>
      <c r="C14" s="12">
        <v>13</v>
      </c>
      <c r="D14" s="12" t="s">
        <v>170</v>
      </c>
      <c r="E14" s="12">
        <v>284.82</v>
      </c>
      <c r="F14" s="12">
        <v>285.27</v>
      </c>
      <c r="G14" s="5">
        <f t="shared" si="0"/>
        <v>-0.44999999999998863</v>
      </c>
      <c r="H14" s="5"/>
      <c r="J14" s="5"/>
      <c r="K14" s="5"/>
      <c r="L14" s="5"/>
      <c r="M14" s="5"/>
      <c r="N14" s="5"/>
      <c r="O14" s="5"/>
      <c r="P14" s="5"/>
      <c r="Q14" s="5"/>
    </row>
    <row r="15" spans="1:17">
      <c r="A15" s="30"/>
      <c r="B15" s="5"/>
      <c r="C15" s="5">
        <v>14</v>
      </c>
      <c r="D15" s="5" t="s">
        <v>171</v>
      </c>
      <c r="E15" s="5">
        <v>279.37</v>
      </c>
      <c r="F15" s="5">
        <v>275.87</v>
      </c>
      <c r="G15" s="5">
        <f t="shared" si="0"/>
        <v>3.5</v>
      </c>
      <c r="H15" s="5"/>
      <c r="J15" s="5"/>
      <c r="K15" s="5"/>
      <c r="L15" s="5"/>
      <c r="M15" s="5"/>
      <c r="N15" s="5"/>
      <c r="O15" s="5"/>
      <c r="P15" s="5"/>
      <c r="Q15" s="5"/>
    </row>
    <row r="16" spans="1:17">
      <c r="A16" s="30"/>
      <c r="B16" s="5"/>
      <c r="C16" s="5">
        <v>15</v>
      </c>
      <c r="D16" s="5" t="s">
        <v>172</v>
      </c>
      <c r="E16" s="5">
        <v>286.37</v>
      </c>
      <c r="F16" s="5">
        <v>285.94</v>
      </c>
      <c r="G16" s="5">
        <f t="shared" si="0"/>
        <v>0.43000000000000682</v>
      </c>
      <c r="H16" s="5"/>
      <c r="J16" s="5"/>
      <c r="K16" s="5"/>
      <c r="L16" s="5"/>
      <c r="M16" s="5"/>
      <c r="N16" s="5"/>
      <c r="O16" s="5"/>
      <c r="P16" s="5"/>
      <c r="Q16" s="5"/>
    </row>
    <row r="17" spans="1:17" ht="15.75" thickBot="1">
      <c r="A17" s="31"/>
      <c r="B17" s="19"/>
      <c r="C17" s="19">
        <v>16</v>
      </c>
      <c r="D17" s="19" t="s">
        <v>173</v>
      </c>
      <c r="E17" s="19">
        <v>275.44</v>
      </c>
      <c r="F17" s="19">
        <v>275.24</v>
      </c>
      <c r="G17" s="5">
        <f t="shared" si="0"/>
        <v>0.19999999999998863</v>
      </c>
      <c r="H17" s="5"/>
      <c r="J17" s="5"/>
      <c r="K17" s="5"/>
      <c r="L17" s="5"/>
      <c r="M17" s="5"/>
      <c r="N17" s="5"/>
      <c r="O17" s="5"/>
      <c r="P17" s="5"/>
      <c r="Q17" s="5"/>
    </row>
    <row r="18" spans="1:17">
      <c r="A18" s="12" t="s">
        <v>118</v>
      </c>
      <c r="B18" s="12">
        <v>25.09</v>
      </c>
      <c r="C18" s="12">
        <v>1</v>
      </c>
      <c r="D18" s="12" t="s">
        <v>170</v>
      </c>
      <c r="E18" s="12">
        <v>262.04000000000002</v>
      </c>
      <c r="F18" s="12">
        <v>261.02999999999997</v>
      </c>
      <c r="G18" s="5">
        <f t="shared" si="0"/>
        <v>1.0100000000000477</v>
      </c>
      <c r="H18" s="5"/>
    </row>
    <row r="19" spans="1:17">
      <c r="B19" s="5"/>
      <c r="C19" s="5">
        <v>2</v>
      </c>
      <c r="D19" s="5" t="s">
        <v>171</v>
      </c>
      <c r="E19" s="5">
        <v>273.10000000000002</v>
      </c>
      <c r="F19" s="5">
        <v>268.14999999999998</v>
      </c>
      <c r="G19" s="5">
        <f t="shared" si="0"/>
        <v>4.9500000000000455</v>
      </c>
      <c r="H19" s="5"/>
    </row>
    <row r="20" spans="1:17">
      <c r="C20" s="5">
        <v>3</v>
      </c>
      <c r="D20" s="5" t="s">
        <v>172</v>
      </c>
      <c r="E20" s="5">
        <v>285.63</v>
      </c>
      <c r="F20" s="5">
        <v>283.87</v>
      </c>
      <c r="G20" s="5">
        <f t="shared" si="0"/>
        <v>1.7599999999999909</v>
      </c>
      <c r="H20" s="5"/>
    </row>
    <row r="21" spans="1:17">
      <c r="A21" s="33"/>
      <c r="B21" s="34"/>
      <c r="C21" s="33">
        <v>4</v>
      </c>
      <c r="D21" s="33" t="s">
        <v>173</v>
      </c>
      <c r="E21" s="33">
        <v>275.26</v>
      </c>
      <c r="F21" s="33">
        <v>274.76</v>
      </c>
      <c r="G21" s="5">
        <f t="shared" si="0"/>
        <v>0.5</v>
      </c>
      <c r="H21" s="5"/>
    </row>
    <row r="22" spans="1:17">
      <c r="A22" s="5" t="s">
        <v>120</v>
      </c>
      <c r="B22">
        <v>25.06</v>
      </c>
      <c r="C22" s="5">
        <v>5</v>
      </c>
      <c r="D22" s="5" t="s">
        <v>170</v>
      </c>
      <c r="E22" s="5">
        <v>273.27999999999997</v>
      </c>
      <c r="F22" s="5">
        <v>269.89999999999998</v>
      </c>
      <c r="G22" s="5">
        <f t="shared" si="0"/>
        <v>3.3799999999999955</v>
      </c>
      <c r="H22" s="5"/>
    </row>
    <row r="23" spans="1:17">
      <c r="C23" s="5">
        <v>6</v>
      </c>
      <c r="D23" s="5" t="s">
        <v>171</v>
      </c>
      <c r="E23" s="5">
        <v>291.04000000000002</v>
      </c>
      <c r="F23" s="5">
        <v>289.83999999999997</v>
      </c>
      <c r="G23" s="5">
        <f t="shared" si="0"/>
        <v>1.2000000000000455</v>
      </c>
      <c r="H23" s="5"/>
    </row>
    <row r="24" spans="1:17">
      <c r="C24" s="5">
        <v>7</v>
      </c>
      <c r="D24" s="5" t="s">
        <v>172</v>
      </c>
      <c r="E24" s="5">
        <v>286.13</v>
      </c>
      <c r="F24" s="5">
        <v>286.02999999999997</v>
      </c>
      <c r="G24" s="5">
        <f t="shared" si="0"/>
        <v>0.10000000000002274</v>
      </c>
      <c r="H24" s="5"/>
    </row>
    <row r="25" spans="1:17" ht="15.75" thickBot="1">
      <c r="A25" s="33"/>
      <c r="B25" s="34"/>
      <c r="C25" s="19">
        <v>8</v>
      </c>
      <c r="D25" s="19" t="s">
        <v>173</v>
      </c>
      <c r="E25" s="19">
        <v>284.83</v>
      </c>
      <c r="F25" s="19">
        <v>284.77999999999997</v>
      </c>
      <c r="G25" s="5">
        <f t="shared" si="0"/>
        <v>5.0000000000011369E-2</v>
      </c>
      <c r="H25" s="5"/>
    </row>
    <row r="26" spans="1:17">
      <c r="A26" s="5" t="s">
        <v>122</v>
      </c>
      <c r="B26">
        <v>25</v>
      </c>
      <c r="C26" s="12">
        <v>9</v>
      </c>
      <c r="D26" s="12" t="s">
        <v>170</v>
      </c>
      <c r="E26" s="12">
        <v>284.17</v>
      </c>
      <c r="F26" s="12">
        <v>275.99</v>
      </c>
      <c r="G26" s="5">
        <f t="shared" si="0"/>
        <v>8.1800000000000068</v>
      </c>
      <c r="H26" s="5"/>
    </row>
    <row r="27" spans="1:17">
      <c r="C27" s="5">
        <v>10</v>
      </c>
      <c r="D27" s="5" t="s">
        <v>171</v>
      </c>
      <c r="E27" s="5">
        <v>278.3</v>
      </c>
      <c r="F27" s="5">
        <v>275.75</v>
      </c>
      <c r="G27" s="5">
        <f t="shared" si="0"/>
        <v>2.5500000000000114</v>
      </c>
      <c r="H27" s="5"/>
    </row>
    <row r="28" spans="1:17">
      <c r="C28" s="5">
        <v>11</v>
      </c>
      <c r="D28" s="5" t="s">
        <v>172</v>
      </c>
      <c r="E28" s="5">
        <v>261.23</v>
      </c>
      <c r="F28" s="5">
        <v>260.95</v>
      </c>
      <c r="G28" s="5">
        <f t="shared" si="0"/>
        <v>0.28000000000002956</v>
      </c>
      <c r="H28" s="5"/>
    </row>
    <row r="29" spans="1:17" ht="15.75" thickBot="1">
      <c r="A29" s="33"/>
      <c r="B29" s="34"/>
      <c r="C29" s="33">
        <v>12</v>
      </c>
      <c r="D29" s="19" t="s">
        <v>173</v>
      </c>
      <c r="E29" s="19">
        <v>273.66000000000003</v>
      </c>
      <c r="F29" s="19">
        <v>273.45</v>
      </c>
      <c r="G29" s="5">
        <f t="shared" si="0"/>
        <v>0.21000000000003638</v>
      </c>
      <c r="H29" s="5"/>
    </row>
    <row r="30" spans="1:17">
      <c r="A30" s="5" t="s">
        <v>124</v>
      </c>
      <c r="B30">
        <v>25.04</v>
      </c>
      <c r="C30" s="5">
        <v>13</v>
      </c>
      <c r="D30" s="12" t="s">
        <v>170</v>
      </c>
      <c r="E30" s="12">
        <v>300.26</v>
      </c>
      <c r="F30" s="12">
        <v>294.89</v>
      </c>
      <c r="G30" s="5">
        <f t="shared" si="0"/>
        <v>5.3700000000000045</v>
      </c>
      <c r="H30" s="5"/>
    </row>
    <row r="31" spans="1:17">
      <c r="C31" s="5">
        <v>14</v>
      </c>
      <c r="D31" s="5" t="s">
        <v>171</v>
      </c>
      <c r="E31" s="5">
        <v>276.14</v>
      </c>
      <c r="F31" s="5">
        <v>274.35000000000002</v>
      </c>
      <c r="G31" s="5">
        <f t="shared" si="0"/>
        <v>1.7899999999999636</v>
      </c>
      <c r="H31" s="5"/>
    </row>
    <row r="32" spans="1:17">
      <c r="C32" s="5">
        <v>15</v>
      </c>
      <c r="D32" s="5" t="s">
        <v>172</v>
      </c>
      <c r="E32" s="5">
        <v>286.14999999999998</v>
      </c>
      <c r="F32" s="5">
        <v>285.88</v>
      </c>
      <c r="G32" s="5">
        <f t="shared" si="0"/>
        <v>0.26999999999998181</v>
      </c>
      <c r="H32" s="5"/>
    </row>
    <row r="33" spans="1:8" ht="15.75" thickBot="1">
      <c r="A33" s="33"/>
      <c r="B33" s="34"/>
      <c r="C33" s="33">
        <v>16</v>
      </c>
      <c r="D33" s="19" t="s">
        <v>173</v>
      </c>
      <c r="E33" s="19">
        <v>275.22000000000003</v>
      </c>
      <c r="F33" s="19">
        <v>275.13</v>
      </c>
      <c r="G33" s="5">
        <f t="shared" si="0"/>
        <v>9.0000000000031832E-2</v>
      </c>
      <c r="H33" s="5"/>
    </row>
    <row r="34" spans="1:8">
      <c r="A34" s="29" t="s">
        <v>126</v>
      </c>
      <c r="B34" s="12">
        <v>25.01</v>
      </c>
      <c r="C34" s="12">
        <v>1</v>
      </c>
      <c r="D34" s="12" t="s">
        <v>170</v>
      </c>
      <c r="E34" s="12">
        <v>266.74</v>
      </c>
      <c r="F34" s="12">
        <v>260.95</v>
      </c>
      <c r="G34" s="5">
        <f t="shared" si="0"/>
        <v>5.7900000000000205</v>
      </c>
      <c r="H34" s="5"/>
    </row>
    <row r="35" spans="1:8">
      <c r="A35" s="30"/>
      <c r="B35" s="5"/>
      <c r="C35" s="5">
        <v>2</v>
      </c>
      <c r="D35" s="5" t="s">
        <v>171</v>
      </c>
      <c r="E35" s="5">
        <v>272.55</v>
      </c>
      <c r="F35" s="5">
        <v>267.92</v>
      </c>
      <c r="G35" s="5">
        <f t="shared" si="0"/>
        <v>4.6299999999999955</v>
      </c>
      <c r="H35" s="5"/>
    </row>
    <row r="36" spans="1:8">
      <c r="A36" s="30"/>
      <c r="B36" s="5"/>
      <c r="C36" s="5">
        <v>3</v>
      </c>
      <c r="D36" s="5" t="s">
        <v>172</v>
      </c>
      <c r="E36" s="5">
        <v>284.58999999999997</v>
      </c>
      <c r="F36" s="5">
        <v>283.68</v>
      </c>
      <c r="G36" s="5">
        <f t="shared" si="0"/>
        <v>0.90999999999996817</v>
      </c>
      <c r="H36" s="5"/>
    </row>
    <row r="37" spans="1:8" ht="15.75" thickBot="1">
      <c r="A37" s="31"/>
      <c r="B37" s="19"/>
      <c r="C37" s="19">
        <v>4</v>
      </c>
      <c r="D37" s="19" t="s">
        <v>173</v>
      </c>
      <c r="E37" s="19">
        <v>274.62</v>
      </c>
      <c r="F37" s="19">
        <v>274.52</v>
      </c>
      <c r="G37" s="5">
        <f t="shared" si="0"/>
        <v>0.10000000000002274</v>
      </c>
      <c r="H37" s="5"/>
    </row>
    <row r="38" spans="1:8">
      <c r="A38" s="29" t="s">
        <v>128</v>
      </c>
      <c r="B38" s="12">
        <v>25.01</v>
      </c>
      <c r="C38" s="12">
        <v>5</v>
      </c>
      <c r="D38" s="12" t="s">
        <v>170</v>
      </c>
      <c r="E38" s="12">
        <v>272.20999999999998</v>
      </c>
      <c r="F38" s="12">
        <v>262.66000000000003</v>
      </c>
      <c r="G38" s="5">
        <f t="shared" si="0"/>
        <v>9.5499999999999545</v>
      </c>
      <c r="H38" s="5"/>
    </row>
    <row r="39" spans="1:8">
      <c r="A39" s="30"/>
      <c r="B39" s="5"/>
      <c r="C39" s="5">
        <v>6</v>
      </c>
      <c r="D39" s="5" t="s">
        <v>171</v>
      </c>
      <c r="E39" s="5">
        <v>292.69</v>
      </c>
      <c r="F39" s="5">
        <v>286.93</v>
      </c>
      <c r="G39" s="5">
        <f t="shared" si="0"/>
        <v>5.7599999999999909</v>
      </c>
      <c r="H39" s="5"/>
    </row>
    <row r="40" spans="1:8">
      <c r="A40" s="30"/>
      <c r="B40" s="5"/>
      <c r="C40" s="5">
        <v>7</v>
      </c>
      <c r="D40" s="5" t="s">
        <v>172</v>
      </c>
      <c r="E40" s="5">
        <v>286.79000000000002</v>
      </c>
      <c r="F40" s="5">
        <v>285.92</v>
      </c>
      <c r="G40" s="5">
        <f t="shared" si="0"/>
        <v>0.87000000000000455</v>
      </c>
      <c r="H40" s="5"/>
    </row>
    <row r="41" spans="1:8" ht="15.75" thickBot="1">
      <c r="A41" s="31"/>
      <c r="B41" s="19"/>
      <c r="C41" s="19">
        <v>8</v>
      </c>
      <c r="D41" s="19" t="s">
        <v>173</v>
      </c>
      <c r="E41" s="19">
        <v>285.10000000000002</v>
      </c>
      <c r="F41" s="19">
        <v>284.81</v>
      </c>
      <c r="G41" s="5">
        <f t="shared" si="0"/>
        <v>0.29000000000002046</v>
      </c>
      <c r="H41" s="5"/>
    </row>
    <row r="42" spans="1:8">
      <c r="A42" s="29" t="s">
        <v>130</v>
      </c>
      <c r="B42" s="12">
        <v>25</v>
      </c>
      <c r="C42" s="12">
        <v>9</v>
      </c>
      <c r="D42" s="12" t="s">
        <v>170</v>
      </c>
      <c r="E42" s="12">
        <v>287.44</v>
      </c>
      <c r="F42" s="12">
        <v>275.18</v>
      </c>
      <c r="G42" s="5">
        <f t="shared" si="0"/>
        <v>12.259999999999991</v>
      </c>
      <c r="H42" s="5"/>
    </row>
    <row r="43" spans="1:8">
      <c r="A43" s="30"/>
      <c r="B43" s="5"/>
      <c r="C43" s="5">
        <v>10</v>
      </c>
      <c r="D43" s="5" t="s">
        <v>171</v>
      </c>
      <c r="E43" s="5">
        <v>279.52999999999997</v>
      </c>
      <c r="F43" s="5">
        <v>274.93</v>
      </c>
      <c r="G43" s="5">
        <f t="shared" si="0"/>
        <v>4.5999999999999659</v>
      </c>
      <c r="H43" s="5"/>
    </row>
    <row r="44" spans="1:8">
      <c r="A44" s="30"/>
      <c r="B44" s="5"/>
      <c r="C44" s="5">
        <v>11</v>
      </c>
      <c r="D44" s="5" t="s">
        <v>172</v>
      </c>
      <c r="E44" s="5">
        <v>261.27999999999997</v>
      </c>
      <c r="F44" s="5">
        <v>260.81</v>
      </c>
      <c r="G44" s="5">
        <f t="shared" si="0"/>
        <v>0.46999999999997044</v>
      </c>
      <c r="H44" s="5"/>
    </row>
    <row r="45" spans="1:8" ht="15.75" thickBot="1">
      <c r="A45" s="31"/>
      <c r="B45" s="19"/>
      <c r="C45" s="19">
        <v>12</v>
      </c>
      <c r="D45" s="19" t="s">
        <v>173</v>
      </c>
      <c r="E45" s="19">
        <v>273.16000000000003</v>
      </c>
      <c r="F45" s="19">
        <v>273.12</v>
      </c>
      <c r="G45" s="5">
        <f t="shared" si="0"/>
        <v>4.0000000000020464E-2</v>
      </c>
      <c r="H45" s="5"/>
    </row>
    <row r="46" spans="1:8">
      <c r="A46" s="29" t="s">
        <v>132</v>
      </c>
      <c r="B46" s="12">
        <v>25.01</v>
      </c>
      <c r="C46" s="12">
        <v>13</v>
      </c>
      <c r="D46" s="12" t="s">
        <v>170</v>
      </c>
      <c r="E46" s="12">
        <v>288.89</v>
      </c>
      <c r="F46" s="12">
        <v>284.07</v>
      </c>
      <c r="G46" s="5">
        <f t="shared" si="0"/>
        <v>4.8199999999999932</v>
      </c>
      <c r="H46" s="5"/>
    </row>
    <row r="47" spans="1:8">
      <c r="A47" s="30"/>
      <c r="B47" s="5"/>
      <c r="C47" s="5">
        <v>14</v>
      </c>
      <c r="D47" s="5" t="s">
        <v>171</v>
      </c>
      <c r="E47" s="5">
        <v>284.42</v>
      </c>
      <c r="F47" s="5">
        <v>274.20999999999998</v>
      </c>
      <c r="G47" s="5">
        <f t="shared" si="0"/>
        <v>10.210000000000036</v>
      </c>
      <c r="H47" s="5"/>
    </row>
    <row r="48" spans="1:8">
      <c r="A48" s="30"/>
      <c r="B48" s="5"/>
      <c r="C48" s="5">
        <v>15</v>
      </c>
      <c r="D48" s="5" t="s">
        <v>172</v>
      </c>
      <c r="E48" s="5">
        <v>287.7</v>
      </c>
      <c r="F48" s="5">
        <v>286.83</v>
      </c>
      <c r="G48" s="5">
        <f t="shared" si="0"/>
        <v>0.87000000000000455</v>
      </c>
      <c r="H48" s="5"/>
    </row>
    <row r="49" spans="1:8" ht="15.75" thickBot="1">
      <c r="A49" s="31"/>
      <c r="B49" s="19"/>
      <c r="C49" s="19">
        <v>16</v>
      </c>
      <c r="D49" s="19" t="s">
        <v>173</v>
      </c>
      <c r="E49" s="19">
        <v>275.52</v>
      </c>
      <c r="F49" s="19">
        <v>275.37</v>
      </c>
      <c r="G49" s="5">
        <f t="shared" si="0"/>
        <v>0.14999999999997726</v>
      </c>
      <c r="H49" s="5"/>
    </row>
    <row r="50" spans="1:8">
      <c r="A50" s="12"/>
      <c r="B50" s="12"/>
      <c r="C50" s="12">
        <v>1</v>
      </c>
      <c r="D50" s="12" t="s">
        <v>170</v>
      </c>
      <c r="E50" s="12"/>
      <c r="F50" s="12"/>
      <c r="G50" s="5">
        <f t="shared" si="0"/>
        <v>0</v>
      </c>
      <c r="H50" s="5"/>
    </row>
    <row r="51" spans="1:8">
      <c r="B51" s="5"/>
      <c r="C51" s="5">
        <v>2</v>
      </c>
      <c r="D51" s="5" t="s">
        <v>171</v>
      </c>
      <c r="E51" s="5"/>
      <c r="F51" s="5"/>
      <c r="G51" s="5">
        <f t="shared" si="0"/>
        <v>0</v>
      </c>
      <c r="H51" s="5"/>
    </row>
    <row r="52" spans="1:8">
      <c r="C52" s="5">
        <v>3</v>
      </c>
      <c r="D52" s="5" t="s">
        <v>172</v>
      </c>
      <c r="E52" s="5"/>
      <c r="F52" s="5"/>
      <c r="G52" s="5">
        <f t="shared" si="0"/>
        <v>0</v>
      </c>
      <c r="H52" s="5"/>
    </row>
    <row r="53" spans="1:8">
      <c r="A53" s="33"/>
      <c r="B53" s="34"/>
      <c r="C53" s="33">
        <v>4</v>
      </c>
      <c r="D53" s="33" t="s">
        <v>173</v>
      </c>
      <c r="E53" s="33"/>
      <c r="F53" s="33"/>
      <c r="G53" s="5">
        <f t="shared" si="0"/>
        <v>0</v>
      </c>
      <c r="H53" s="5"/>
    </row>
    <row r="54" spans="1:8">
      <c r="C54" s="5">
        <v>5</v>
      </c>
      <c r="D54" s="5" t="s">
        <v>170</v>
      </c>
      <c r="E54" s="5"/>
      <c r="F54" s="5"/>
      <c r="G54" s="5">
        <f t="shared" si="0"/>
        <v>0</v>
      </c>
      <c r="H54" s="5"/>
    </row>
    <row r="55" spans="1:8">
      <c r="C55" s="5">
        <v>6</v>
      </c>
      <c r="D55" s="5" t="s">
        <v>171</v>
      </c>
      <c r="E55" s="5"/>
      <c r="F55" s="5"/>
      <c r="G55" s="5">
        <f t="shared" si="0"/>
        <v>0</v>
      </c>
      <c r="H55" s="5"/>
    </row>
    <row r="56" spans="1:8">
      <c r="C56" s="5">
        <v>7</v>
      </c>
      <c r="D56" s="5" t="s">
        <v>172</v>
      </c>
      <c r="E56" s="5"/>
      <c r="F56" s="5"/>
      <c r="G56" s="5">
        <f t="shared" si="0"/>
        <v>0</v>
      </c>
      <c r="H56" s="5"/>
    </row>
    <row r="57" spans="1:8" ht="15.75" thickBot="1">
      <c r="A57" s="33"/>
      <c r="B57" s="34"/>
      <c r="C57" s="19">
        <v>8</v>
      </c>
      <c r="D57" s="19" t="s">
        <v>173</v>
      </c>
      <c r="E57" s="19"/>
      <c r="F57" s="19"/>
      <c r="G57" s="5">
        <f t="shared" si="0"/>
        <v>0</v>
      </c>
      <c r="H57" s="5"/>
    </row>
    <row r="58" spans="1:8">
      <c r="C58" s="12">
        <v>9</v>
      </c>
      <c r="D58" s="12" t="s">
        <v>170</v>
      </c>
      <c r="E58" s="12"/>
      <c r="F58" s="12"/>
      <c r="G58" s="5">
        <f t="shared" si="0"/>
        <v>0</v>
      </c>
      <c r="H58" s="5"/>
    </row>
    <row r="59" spans="1:8">
      <c r="C59" s="5">
        <v>10</v>
      </c>
      <c r="D59" s="5" t="s">
        <v>171</v>
      </c>
      <c r="E59" s="5"/>
      <c r="F59" s="5"/>
      <c r="G59" s="5">
        <f t="shared" si="0"/>
        <v>0</v>
      </c>
      <c r="H59" s="5"/>
    </row>
    <row r="60" spans="1:8">
      <c r="C60" s="5">
        <v>11</v>
      </c>
      <c r="D60" s="5" t="s">
        <v>172</v>
      </c>
      <c r="E60" s="5"/>
      <c r="F60" s="5"/>
      <c r="G60" s="5">
        <f t="shared" si="0"/>
        <v>0</v>
      </c>
      <c r="H60" s="5"/>
    </row>
    <row r="61" spans="1:8" ht="15.75" thickBot="1">
      <c r="A61" s="33"/>
      <c r="B61" s="34"/>
      <c r="C61" s="33">
        <v>12</v>
      </c>
      <c r="D61" s="19" t="s">
        <v>173</v>
      </c>
      <c r="E61" s="19"/>
      <c r="F61" s="19"/>
      <c r="G61" s="5">
        <f t="shared" si="0"/>
        <v>0</v>
      </c>
      <c r="H61" s="5"/>
    </row>
    <row r="62" spans="1:8">
      <c r="C62" s="5">
        <v>13</v>
      </c>
      <c r="D62" s="12" t="s">
        <v>170</v>
      </c>
      <c r="E62" s="12"/>
      <c r="F62" s="12"/>
      <c r="G62" s="5">
        <f t="shared" si="0"/>
        <v>0</v>
      </c>
      <c r="H62" s="5"/>
    </row>
    <row r="63" spans="1:8">
      <c r="C63" s="5">
        <v>14</v>
      </c>
      <c r="D63" s="5" t="s">
        <v>171</v>
      </c>
      <c r="E63" s="5"/>
      <c r="F63" s="5"/>
      <c r="G63" s="5">
        <f t="shared" si="0"/>
        <v>0</v>
      </c>
      <c r="H63" s="5"/>
    </row>
    <row r="64" spans="1:8">
      <c r="C64" s="5">
        <v>15</v>
      </c>
      <c r="D64" s="5" t="s">
        <v>172</v>
      </c>
      <c r="E64" s="5"/>
      <c r="F64" s="5"/>
      <c r="G64" s="5">
        <f t="shared" si="0"/>
        <v>0</v>
      </c>
      <c r="H64" s="5"/>
    </row>
    <row r="65" spans="1:8" ht="15.75" thickBot="1">
      <c r="A65" s="33"/>
      <c r="B65" s="34"/>
      <c r="C65" s="33">
        <v>16</v>
      </c>
      <c r="D65" s="19" t="s">
        <v>173</v>
      </c>
      <c r="E65" s="19"/>
      <c r="F65" s="19"/>
      <c r="G65" s="5">
        <f t="shared" si="0"/>
        <v>0</v>
      </c>
      <c r="H6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7604D-748D-452D-9095-6449E59D82E3}"/>
</file>

<file path=customXml/itemProps2.xml><?xml version="1.0" encoding="utf-8"?>
<ds:datastoreItem xmlns:ds="http://schemas.openxmlformats.org/officeDocument/2006/customXml" ds:itemID="{04A9AFBA-86CB-4B8A-A448-19BDB54F18EA}"/>
</file>

<file path=customXml/itemProps3.xml><?xml version="1.0" encoding="utf-8"?>
<ds:datastoreItem xmlns:ds="http://schemas.openxmlformats.org/officeDocument/2006/customXml" ds:itemID="{14E8F4AE-E5FB-4996-9A68-3701B0F77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2025-10-06T18:28:32Z</dcterms:created>
  <dcterms:modified xsi:type="dcterms:W3CDTF">2026-06-17T20:00:44Z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
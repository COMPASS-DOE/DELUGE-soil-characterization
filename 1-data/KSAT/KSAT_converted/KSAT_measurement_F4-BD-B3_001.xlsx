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pate212/GitHub/DELUGE-soil-characterization/1-data/KSAT/"/>
    </mc:Choice>
  </mc:AlternateContent>
  <xr:revisionPtr revIDLastSave="0" documentId="13_ncr:1_{2DD567CE-26BB-47FA-B793-D569F59C7A56}" xr6:coauthVersionLast="47" xr6:coauthVersionMax="47" xr10:uidLastSave="{00000000-0000-0000-0000-000000000000}"/>
  <bookViews>
    <workbookView xWindow="4140" yWindow="1540" windowWidth="21600" windowHeight="13440" xr2:uid="{00000000-000D-0000-FFFF-FFFF00000000}"/>
  </bookViews>
  <sheets>
    <sheet name="KSAT_Measure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51" i="1" l="1"/>
  <c r="A52" i="1"/>
</calcChain>
</file>

<file path=xl/sharedStrings.xml><?xml version="1.0" encoding="utf-8"?>
<sst xmlns="http://schemas.openxmlformats.org/spreadsheetml/2006/main" count="107" uniqueCount="106">
  <si>
    <t>KSAT</t>
  </si>
  <si>
    <t>CulturInfo</t>
  </si>
  <si>
    <t>en-US</t>
  </si>
  <si>
    <t>Software Version</t>
  </si>
  <si>
    <t>1.6.5</t>
  </si>
  <si>
    <t>Firmware Version</t>
  </si>
  <si>
    <t>1.5</t>
  </si>
  <si>
    <t>Last setting of the zero point</t>
  </si>
  <si>
    <t>40909</t>
  </si>
  <si>
    <t>Serial Number</t>
  </si>
  <si>
    <t>0424</t>
  </si>
  <si>
    <t>File name</t>
  </si>
  <si>
    <t>KSAT_measurement_F4-BD-B3_001</t>
  </si>
  <si>
    <t>Additional comments</t>
  </si>
  <si>
    <t>MEASUREMENT</t>
  </si>
  <si>
    <t>Mode</t>
  </si>
  <si>
    <t>FallingHead</t>
  </si>
  <si>
    <t>Sample rate [s]</t>
  </si>
  <si>
    <t>Auto</t>
  </si>
  <si>
    <t>Crown type</t>
  </si>
  <si>
    <t>FilterPlateCrown</t>
  </si>
  <si>
    <t>Use Synthetic Data</t>
  </si>
  <si>
    <t>PARAMETERS</t>
  </si>
  <si>
    <t>OPERATION PARAMETERS</t>
  </si>
  <si>
    <t>H_end_abs [cm]</t>
  </si>
  <si>
    <t>Hydraulic head difference at stop of measurement</t>
  </si>
  <si>
    <t>H_end_rel [-]</t>
  </si>
  <si>
    <t>0.25</t>
  </si>
  <si>
    <t>Relative hydraulic head (with respect to initial pressure head) to stop measurement</t>
  </si>
  <si>
    <t>dH_min [cm]</t>
  </si>
  <si>
    <t>0.1</t>
  </si>
  <si>
    <t>Minimum hydraulic head difference for two successive readings</t>
  </si>
  <si>
    <t>dH_ini [cm]</t>
  </si>
  <si>
    <t>Required hydraulic head increase between two readings to trigger automatic start of measurement campaign</t>
  </si>
  <si>
    <t>GEOMETRY PARAMETERS</t>
  </si>
  <si>
    <t>A_bur1 [cm²]</t>
  </si>
  <si>
    <t>4.524</t>
  </si>
  <si>
    <t>Standard burette cross-sectional area</t>
  </si>
  <si>
    <t>A_cap_in [cm²]</t>
  </si>
  <si>
    <t>0.075</t>
  </si>
  <si>
    <t>Burette extension internal cross-sectional area</t>
  </si>
  <si>
    <t>A_sample  [cm²]</t>
  </si>
  <si>
    <t>Sample cross-sectional area</t>
  </si>
  <si>
    <t>L_bur [cm]</t>
  </si>
  <si>
    <t>Standard burette length</t>
  </si>
  <si>
    <t>L_sample [cm]</t>
  </si>
  <si>
    <t>Height of soil sample</t>
  </si>
  <si>
    <t>L_plate_Bottom [cm]</t>
  </si>
  <si>
    <t>0.8</t>
  </si>
  <si>
    <t>Bottom porous plate height</t>
  </si>
  <si>
    <t>L_plate_Top [cm]</t>
  </si>
  <si>
    <t>0.3</t>
  </si>
  <si>
    <t>Upper porous plate height</t>
  </si>
  <si>
    <t>EVALUATION PARAMETERS</t>
  </si>
  <si>
    <t>T_ref [°C]</t>
  </si>
  <si>
    <t>Reference temperature for K calculations</t>
  </si>
  <si>
    <t>K_plate [cm/d]</t>
  </si>
  <si>
    <t>Porous plate conductivity</t>
  </si>
  <si>
    <t>Use Auto-Offset</t>
  </si>
  <si>
    <t>Use auto offset correction for measured hydraulic head</t>
  </si>
  <si>
    <t>Max Auto-Offset [cm]</t>
  </si>
  <si>
    <t>Max. value for auto offset correction</t>
  </si>
  <si>
    <t>Trigger Auto-Offset [cm]</t>
  </si>
  <si>
    <t>Hydraulic head change after auto offset correction becomes active</t>
  </si>
  <si>
    <t>Start of measurement</t>
  </si>
  <si>
    <t>10/8/2025 12:02:44 PM</t>
  </si>
  <si>
    <t>Test duration</t>
  </si>
  <si>
    <t>01:07:46</t>
  </si>
  <si>
    <t>RESULT</t>
  </si>
  <si>
    <t>Use auto offset adjustment</t>
  </si>
  <si>
    <t>Max offset adjustment [cm]</t>
  </si>
  <si>
    <t>1</t>
  </si>
  <si>
    <t>Fitting Parameter a [cm]</t>
  </si>
  <si>
    <t>18.64</t>
  </si>
  <si>
    <t>coefficient a of the fitted exponential pressure head decrease function y = a * exp(-b*t)+c, where y is the pressure head in cm and t is time in s</t>
  </si>
  <si>
    <t>Fitting Parameter b [s-1]</t>
  </si>
  <si>
    <t>-3.06E-04</t>
  </si>
  <si>
    <t>coefficient b of the fitted exponential pressure head decrease function y = a * exp(-b*t)+c, where y is the pressure head in cm and t is time in s</t>
  </si>
  <si>
    <t>Fitting Parameter c [cm]</t>
  </si>
  <si>
    <t>coefficient c of the fitted exponential pressure head decrease function y = a * exp(-b*t)+c, where y is the pressure head in cm and t is time in s</t>
  </si>
  <si>
    <t>Fitting Parameter r2 [-]</t>
  </si>
  <si>
    <t>0.9997</t>
  </si>
  <si>
    <t>coefficient of determination of the exponential pressure head decrease function that is fitted to the observed data</t>
  </si>
  <si>
    <t>Ks Total [cm/d]</t>
  </si>
  <si>
    <t>37.886</t>
  </si>
  <si>
    <t>Saturated hydraulic conductivity [cm/d] of the entire system</t>
  </si>
  <si>
    <t>Ks Total [m/s]</t>
  </si>
  <si>
    <t>4.41E-06</t>
  </si>
  <si>
    <t>Saturated hydraulic conductivity [m/s] of the entire system</t>
  </si>
  <si>
    <t>Ks Soil [cm/d]</t>
  </si>
  <si>
    <t>31.179</t>
  </si>
  <si>
    <t>Saturated hydraulic conductivity [cm/d] of the soil sample itself</t>
  </si>
  <si>
    <t>Ks Soil [m/s]</t>
  </si>
  <si>
    <t>3.63E-06</t>
  </si>
  <si>
    <t>Saturated hydraulic conductivity [m/s] of the soil sample itself</t>
  </si>
  <si>
    <t>30.490</t>
  </si>
  <si>
    <t>Saturated hydraulic conductivity [cm/d] of the soil sample  normalized to 10 °C mean field temperature</t>
  </si>
  <si>
    <t>3.55E-06</t>
  </si>
  <si>
    <t>Saturated hydraulic conductivity [m/s] of the soil sample  normalized to 10 °C mean field temperature</t>
  </si>
  <si>
    <t>DATA</t>
  </si>
  <si>
    <t>Date/Time</t>
  </si>
  <si>
    <t>Runtime [ms]</t>
  </si>
  <si>
    <t>Runtime [s]</t>
  </si>
  <si>
    <t>Pressure Head [cm]</t>
  </si>
  <si>
    <t>Fitting [cm]</t>
  </si>
  <si>
    <t>Temperature [°C]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</si>
</sst>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dd/mm/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" fillId="0" borderId="0" applyBorder="0"/>
  </cellStyleXfs>
  <cellXfs count="7">
    <xf numFmtId="0" fontId="0" fillId="0" borderId="0" xfId="0"/>
    <xf numFmtId="22" fontId="0" fillId="0" borderId="0" xfId="0" applyNumberFormat="1"/>
    <xf numFmtId="21" fontId="0" fillId="0" borderId="0" xfId="0" applyNumberFormat="1"/>
    <xf numFmtId="11" fontId="0" fillId="0" borderId="0" xfId="0" applyNumberFormat="1"/>
    <xf numFmtId="164" fontId="0" fillId="0" borderId="0" xfId="0" applyNumberFormat="1"/>
    <xf numFmtId="49" fontId="0" fillId="0" borderId="0" xfId="0" applyNumberFormat="1"/>
    <xf numFmtId="165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A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4"/>
  <sheetViews>
    <sheetView tabSelected="1" workbookViewId="0"/>
  </sheetViews>
  <sheetFormatPr baseColWidth="10" defaultRowHeight="15" x14ac:dyDescent="0.2"/>
  <cols>
    <col min="1" max="1" width="39.6640625" customWidth="1"/>
    <col min="2" max="2" width="27" bestFit="1" customWidth="1"/>
    <col min="3" max="3" width="31.83203125" bestFit="1" customWidth="1"/>
    <col min="4" max="4" width="18.33203125" bestFit="1" customWidth="1"/>
    <col min="5" max="5" width="11.1640625" bestFit="1" customWidth="1"/>
    <col min="6" max="6" width="16.5" bestFit="1" customWidth="1"/>
  </cols>
  <sheetData>
    <row r="1" spans="1:2" x14ac:dyDescent="0.2">
      <c r="A1" t="s">
        <v>0</v>
      </c>
    </row>
    <row r="2" spans="1:2" x14ac:dyDescent="0.2">
      <c r="A2" t="s">
        <v>1</v>
      </c>
      <c r="B2" t="s">
        <v>2</v>
      </c>
    </row>
    <row r="3" spans="1:2" x14ac:dyDescent="0.2">
      <c r="A3" t="s">
        <v>3</v>
      </c>
      <c r="B3" s="5" t="s">
        <v>4</v>
      </c>
    </row>
    <row r="4" spans="1:2" x14ac:dyDescent="0.2">
      <c r="A4" t="s">
        <v>5</v>
      </c>
      <c r="B4" s="5" t="s">
        <v>6</v>
      </c>
    </row>
    <row r="5" spans="1:2" x14ac:dyDescent="0.2">
      <c r="A5" t="s">
        <v>7</v>
      </c>
      <c r="B5" s="6" t="s">
        <v>8</v>
      </c>
    </row>
    <row r="6" spans="1:2" x14ac:dyDescent="0.2">
      <c r="A6" t="s">
        <v>9</v>
      </c>
      <c r="B6" t="s">
        <v>10</v>
      </c>
    </row>
    <row r="8" spans="1:2" x14ac:dyDescent="0.2">
      <c r="A8" t="s">
        <v>11</v>
      </c>
      <c r="B8" t="s">
        <v>12</v>
      </c>
    </row>
    <row r="9" spans="1:2" x14ac:dyDescent="0.2">
      <c r="A9" t="s">
        <v>13</v>
      </c>
    </row>
    <row r="11" spans="1:2" x14ac:dyDescent="0.2">
      <c r="A11" t="s">
        <v>14</v>
      </c>
    </row>
    <row r="12" spans="1:2" x14ac:dyDescent="0.2">
      <c r="A12" t="s">
        <v>15</v>
      </c>
      <c r="B12" t="s">
        <v>16</v>
      </c>
    </row>
    <row r="13" spans="1:2" x14ac:dyDescent="0.2">
      <c r="A13" t="s">
        <v>17</v>
      </c>
      <c r="B13" t="s">
        <v>18</v>
      </c>
    </row>
    <row r="14" spans="1:2" x14ac:dyDescent="0.2">
      <c r="A14" t="s">
        <v>19</v>
      </c>
      <c r="B14" t="s">
        <v>20</v>
      </c>
    </row>
    <row r="15" spans="1:2" x14ac:dyDescent="0.2">
      <c r="A15" t="s">
        <v>21</v>
      </c>
      <c r="B15" t="b">
        <v>0</v>
      </c>
    </row>
    <row r="17" spans="1:3" x14ac:dyDescent="0.2">
      <c r="A17" t="s">
        <v>22</v>
      </c>
    </row>
    <row r="18" spans="1:3" x14ac:dyDescent="0.2">
      <c r="A18" t="s">
        <v>23</v>
      </c>
    </row>
    <row r="19" spans="1:3" x14ac:dyDescent="0.2">
      <c r="A19" t="s">
        <v>24</v>
      </c>
      <c r="B19">
        <v>0.5</v>
      </c>
      <c r="C19" t="s">
        <v>25</v>
      </c>
    </row>
    <row r="20" spans="1:3" x14ac:dyDescent="0.2">
      <c r="A20" t="s">
        <v>26</v>
      </c>
      <c r="B20" t="s">
        <v>27</v>
      </c>
      <c r="C20" t="s">
        <v>28</v>
      </c>
    </row>
    <row r="21" spans="1:3" x14ac:dyDescent="0.2">
      <c r="A21" t="s">
        <v>29</v>
      </c>
      <c r="B21" t="s">
        <v>30</v>
      </c>
      <c r="C21" t="s">
        <v>31</v>
      </c>
    </row>
    <row r="22" spans="1:3" x14ac:dyDescent="0.2">
      <c r="A22" t="s">
        <v>32</v>
      </c>
      <c r="B22">
        <v>1</v>
      </c>
      <c r="C22" t="s">
        <v>33</v>
      </c>
    </row>
    <row r="23" spans="1:3" x14ac:dyDescent="0.2">
      <c r="A23" t="s">
        <v>34</v>
      </c>
    </row>
    <row r="24" spans="1:3" x14ac:dyDescent="0.2">
      <c r="A24" t="s">
        <v>35</v>
      </c>
      <c r="B24" t="s">
        <v>36</v>
      </c>
      <c r="C24" t="s">
        <v>37</v>
      </c>
    </row>
    <row r="25" spans="1:3" x14ac:dyDescent="0.2">
      <c r="A25" t="s">
        <v>38</v>
      </c>
      <c r="B25" t="s">
        <v>39</v>
      </c>
      <c r="C25" t="s">
        <v>40</v>
      </c>
    </row>
    <row r="26" spans="1:3" x14ac:dyDescent="0.2">
      <c r="A26" t="s">
        <v>41</v>
      </c>
      <c r="B26">
        <v>19.600000381469702</v>
      </c>
      <c r="C26" t="s">
        <v>42</v>
      </c>
    </row>
    <row r="27" spans="1:3" x14ac:dyDescent="0.2">
      <c r="A27" t="s">
        <v>43</v>
      </c>
      <c r="B27">
        <v>22.5</v>
      </c>
      <c r="C27" t="s">
        <v>44</v>
      </c>
    </row>
    <row r="28" spans="1:3" x14ac:dyDescent="0.2">
      <c r="A28" t="s">
        <v>45</v>
      </c>
      <c r="B28">
        <v>5.0999999046325701</v>
      </c>
      <c r="C28" t="s">
        <v>46</v>
      </c>
    </row>
    <row r="29" spans="1:3" x14ac:dyDescent="0.2">
      <c r="A29" t="s">
        <v>47</v>
      </c>
      <c r="B29" t="s">
        <v>48</v>
      </c>
      <c r="C29" t="s">
        <v>49</v>
      </c>
    </row>
    <row r="30" spans="1:3" x14ac:dyDescent="0.2">
      <c r="A30" t="s">
        <v>50</v>
      </c>
      <c r="B30" t="s">
        <v>51</v>
      </c>
      <c r="C30" t="s">
        <v>52</v>
      </c>
    </row>
    <row r="31" spans="1:3" x14ac:dyDescent="0.2">
      <c r="A31" t="s">
        <v>53</v>
      </c>
    </row>
    <row r="32" spans="1:3" x14ac:dyDescent="0.2">
      <c r="A32" t="s">
        <v>54</v>
      </c>
      <c r="B32">
        <v>20</v>
      </c>
      <c r="C32" t="s">
        <v>55</v>
      </c>
    </row>
    <row r="33" spans="1:3" x14ac:dyDescent="0.2">
      <c r="A33" t="s">
        <v>56</v>
      </c>
      <c r="B33">
        <v>14000</v>
      </c>
      <c r="C33" t="s">
        <v>57</v>
      </c>
    </row>
    <row r="34" spans="1:3" x14ac:dyDescent="0.2">
      <c r="A34" t="s">
        <v>58</v>
      </c>
      <c r="B34" t="b">
        <v>1</v>
      </c>
      <c r="C34" t="s">
        <v>59</v>
      </c>
    </row>
    <row r="35" spans="1:3" x14ac:dyDescent="0.2">
      <c r="A35" t="s">
        <v>60</v>
      </c>
      <c r="B35">
        <v>1</v>
      </c>
      <c r="C35" t="s">
        <v>61</v>
      </c>
    </row>
    <row r="36" spans="1:3" x14ac:dyDescent="0.2">
      <c r="A36" t="s">
        <v>62</v>
      </c>
      <c r="B36">
        <v>1</v>
      </c>
      <c r="C36" t="s">
        <v>63</v>
      </c>
    </row>
    <row r="37" spans="1:3" x14ac:dyDescent="0.2">
      <c r="A37" t="s">
        <v>64</v>
      </c>
      <c r="B37" s="1" t="s">
        <v>65</v>
      </c>
    </row>
    <row r="38" spans="1:3" x14ac:dyDescent="0.2">
      <c r="A38" t="s">
        <v>66</v>
      </c>
      <c r="B38" s="2" t="s">
        <v>67</v>
      </c>
    </row>
    <row r="40" spans="1:3" x14ac:dyDescent="0.2">
      <c r="A40" t="s">
        <v>68</v>
      </c>
    </row>
    <row r="41" spans="1:3" x14ac:dyDescent="0.2">
      <c r="A41" t="s">
        <v>69</v>
      </c>
      <c r="B41" t="b">
        <v>1</v>
      </c>
    </row>
    <row r="42" spans="1:3" x14ac:dyDescent="0.2">
      <c r="A42" t="s">
        <v>70</v>
      </c>
      <c r="B42" t="s">
        <v>71</v>
      </c>
    </row>
    <row r="43" spans="1:3" x14ac:dyDescent="0.2">
      <c r="A43" t="s">
        <v>72</v>
      </c>
      <c r="B43" t="s">
        <v>73</v>
      </c>
      <c r="C43" t="s">
        <v>74</v>
      </c>
    </row>
    <row r="44" spans="1:3" x14ac:dyDescent="0.2">
      <c r="A44" t="s">
        <v>75</v>
      </c>
      <c r="B44" s="3" t="s">
        <v>76</v>
      </c>
      <c r="C44" s="3" t="s">
        <v>77</v>
      </c>
    </row>
    <row r="45" spans="1:3" x14ac:dyDescent="0.2">
      <c r="A45" t="s">
        <v>78</v>
      </c>
      <c r="B45" t="s">
        <v>71</v>
      </c>
      <c r="C45" t="s">
        <v>79</v>
      </c>
    </row>
    <row r="46" spans="1:3" x14ac:dyDescent="0.2">
      <c r="A46" t="s">
        <v>80</v>
      </c>
      <c r="B46" t="s">
        <v>81</v>
      </c>
      <c r="C46" t="s">
        <v>82</v>
      </c>
    </row>
    <row r="47" spans="1:3" x14ac:dyDescent="0.2">
      <c r="A47" t="s">
        <v>83</v>
      </c>
      <c r="B47" t="s">
        <v>84</v>
      </c>
      <c r="C47" t="s">
        <v>85</v>
      </c>
    </row>
    <row r="48" spans="1:3" x14ac:dyDescent="0.2">
      <c r="A48" t="s">
        <v>86</v>
      </c>
      <c r="B48" s="3" t="s">
        <v>87</v>
      </c>
      <c r="C48" s="3" t="s">
        <v>88</v>
      </c>
    </row>
    <row r="49" spans="1:6" x14ac:dyDescent="0.2">
      <c r="A49" t="s">
        <v>89</v>
      </c>
      <c r="B49" t="s">
        <v>90</v>
      </c>
      <c r="C49" t="s">
        <v>91</v>
      </c>
    </row>
    <row r="50" spans="1:6" x14ac:dyDescent="0.2">
      <c r="A50" t="s">
        <v>92</v>
      </c>
      <c r="B50" s="3" t="s">
        <v>93</v>
      </c>
      <c r="C50" s="3" t="s">
        <v>94</v>
      </c>
    </row>
    <row r="51" spans="1:6" x14ac:dyDescent="0.2">
      <c r="A51" t="str">
        <f>CONCATENATE("Ks Soil normalized at ",B32," °C [cm/d]")</f>
        <v>Ks Soil normalized at 20 °C [cm/d]</v>
      </c>
      <c r="B51" t="s">
        <v>95</v>
      </c>
      <c r="C51" t="s">
        <v>96</v>
      </c>
    </row>
    <row r="52" spans="1:6" x14ac:dyDescent="0.2">
      <c r="A52" t="str">
        <f>CONCATENATE("Ks Soil normalized at ",B32," °C [m/s]")</f>
        <v>Ks Soil normalized at 20 °C [m/s]</v>
      </c>
      <c r="B52" s="3" t="s">
        <v>97</v>
      </c>
      <c r="C52" s="3" t="s">
        <v>98</v>
      </c>
    </row>
    <row r="54" spans="1:6" x14ac:dyDescent="0.2">
      <c r="A54" t="s">
        <v>99</v>
      </c>
    </row>
    <row r="55" spans="1:6" x14ac:dyDescent="0.2">
      <c r="A55" s="1" t="s">
        <v>100</v>
      </c>
      <c r="B55" t="s">
        <v>101</v>
      </c>
      <c r="C55" t="s">
        <v>102</v>
      </c>
      <c r="D55" t="s">
        <v>103</v>
      </c>
      <c r="E55" t="s">
        <v>104</v>
      </c>
      <c r="F55" t="s">
        <v>105</v>
      </c>
    </row>
    <row r="56" spans="1:6" x14ac:dyDescent="0.2">
      <c r="A56" s="4">
        <v>45938.501905752302</v>
      </c>
      <c r="B56">
        <v>657</v>
      </c>
      <c r="C56">
        <v>0</v>
      </c>
      <c r="D56">
        <v>17.643999999999998</v>
      </c>
      <c r="E56">
        <v>17.643999999999998</v>
      </c>
      <c r="F56">
        <v>20.88</v>
      </c>
    </row>
    <row r="57" spans="1:6" x14ac:dyDescent="0.2">
      <c r="A57" s="4">
        <v>45938.501935949098</v>
      </c>
      <c r="B57">
        <v>266</v>
      </c>
      <c r="C57">
        <v>2.61</v>
      </c>
      <c r="D57">
        <v>17.631</v>
      </c>
      <c r="E57">
        <v>17.629000000000001</v>
      </c>
      <c r="F57">
        <v>20.88</v>
      </c>
    </row>
    <row r="58" spans="1:6" x14ac:dyDescent="0.2">
      <c r="A58" s="4">
        <v>45938.501947870398</v>
      </c>
      <c r="B58">
        <v>296</v>
      </c>
      <c r="C58">
        <v>3.64</v>
      </c>
      <c r="D58">
        <v>17.623000000000001</v>
      </c>
      <c r="E58">
        <v>17.623000000000001</v>
      </c>
      <c r="F58">
        <v>20.88</v>
      </c>
    </row>
    <row r="59" spans="1:6" x14ac:dyDescent="0.2">
      <c r="A59" s="4">
        <v>45938.502181192103</v>
      </c>
      <c r="B59">
        <v>455</v>
      </c>
      <c r="C59">
        <v>23.8</v>
      </c>
      <c r="D59">
        <v>17.518000000000001</v>
      </c>
      <c r="E59">
        <v>17.509</v>
      </c>
      <c r="F59">
        <v>20.89</v>
      </c>
    </row>
    <row r="60" spans="1:6" x14ac:dyDescent="0.2">
      <c r="A60" s="4">
        <v>45938.502441828699</v>
      </c>
      <c r="B60">
        <v>974</v>
      </c>
      <c r="C60">
        <v>46.32</v>
      </c>
      <c r="D60">
        <v>17.414000000000001</v>
      </c>
      <c r="E60">
        <v>17.381</v>
      </c>
      <c r="F60">
        <v>20.91</v>
      </c>
    </row>
    <row r="61" spans="1:6" x14ac:dyDescent="0.2">
      <c r="A61" s="4">
        <v>45938.502667858796</v>
      </c>
      <c r="B61">
        <v>503</v>
      </c>
      <c r="C61">
        <v>65.849999999999994</v>
      </c>
      <c r="D61">
        <v>17.311</v>
      </c>
      <c r="E61">
        <v>17.271999999999998</v>
      </c>
      <c r="F61">
        <v>20.91</v>
      </c>
    </row>
    <row r="62" spans="1:6" x14ac:dyDescent="0.2">
      <c r="A62" s="4">
        <v>45938.502940983803</v>
      </c>
      <c r="B62">
        <v>101</v>
      </c>
      <c r="C62">
        <v>89.44</v>
      </c>
      <c r="D62">
        <v>17.206</v>
      </c>
      <c r="E62">
        <v>17.14</v>
      </c>
      <c r="F62">
        <v>20.91</v>
      </c>
    </row>
    <row r="63" spans="1:6" x14ac:dyDescent="0.2">
      <c r="A63" s="4">
        <v>45938.503135648098</v>
      </c>
      <c r="B63">
        <v>920</v>
      </c>
      <c r="C63">
        <v>106.26</v>
      </c>
      <c r="D63">
        <v>17.105</v>
      </c>
      <c r="E63">
        <v>17.047000000000001</v>
      </c>
      <c r="F63">
        <v>20.91</v>
      </c>
    </row>
    <row r="64" spans="1:6" x14ac:dyDescent="0.2">
      <c r="A64" s="4">
        <v>45938.503386331002</v>
      </c>
      <c r="B64">
        <v>579</v>
      </c>
      <c r="C64">
        <v>127.92</v>
      </c>
      <c r="D64">
        <v>16.991</v>
      </c>
      <c r="E64">
        <v>16.927</v>
      </c>
      <c r="F64">
        <v>20.92</v>
      </c>
    </row>
    <row r="65" spans="1:6" x14ac:dyDescent="0.2">
      <c r="A65" s="4">
        <v>45938.503624398101</v>
      </c>
      <c r="B65">
        <v>148</v>
      </c>
      <c r="C65">
        <v>148.49</v>
      </c>
      <c r="D65">
        <v>16.89</v>
      </c>
      <c r="E65">
        <v>16.815000000000001</v>
      </c>
      <c r="F65">
        <v>20.92</v>
      </c>
    </row>
    <row r="66" spans="1:6" x14ac:dyDescent="0.2">
      <c r="A66" s="4">
        <v>45938.503840937497</v>
      </c>
      <c r="B66">
        <v>857</v>
      </c>
      <c r="C66">
        <v>167.2</v>
      </c>
      <c r="D66">
        <v>16.788</v>
      </c>
      <c r="E66">
        <v>16.713000000000001</v>
      </c>
      <c r="F66">
        <v>20.92</v>
      </c>
    </row>
    <row r="67" spans="1:6" x14ac:dyDescent="0.2">
      <c r="A67" s="4">
        <v>45938.504058055601</v>
      </c>
      <c r="B67">
        <v>616</v>
      </c>
      <c r="C67">
        <v>185.96</v>
      </c>
      <c r="D67">
        <v>16.672999999999998</v>
      </c>
      <c r="E67">
        <v>16.611000000000001</v>
      </c>
      <c r="F67">
        <v>20.93</v>
      </c>
    </row>
    <row r="68" spans="1:6" x14ac:dyDescent="0.2">
      <c r="A68" s="4">
        <v>45938.504330150499</v>
      </c>
      <c r="B68">
        <v>125</v>
      </c>
      <c r="C68">
        <v>209.47</v>
      </c>
      <c r="D68">
        <v>16.571999999999999</v>
      </c>
      <c r="E68">
        <v>16.484999999999999</v>
      </c>
      <c r="F68">
        <v>20.93</v>
      </c>
    </row>
    <row r="69" spans="1:6" x14ac:dyDescent="0.2">
      <c r="A69" s="4">
        <v>45938.504546331002</v>
      </c>
      <c r="B69">
        <v>803</v>
      </c>
      <c r="C69">
        <v>228.15</v>
      </c>
      <c r="D69">
        <v>16.47</v>
      </c>
      <c r="E69">
        <v>16.385000000000002</v>
      </c>
      <c r="F69">
        <v>20.94</v>
      </c>
    </row>
    <row r="70" spans="1:6" x14ac:dyDescent="0.2">
      <c r="A70" s="4">
        <v>45938.504718784701</v>
      </c>
      <c r="B70">
        <v>703</v>
      </c>
      <c r="C70">
        <v>243.05</v>
      </c>
      <c r="D70">
        <v>16.366</v>
      </c>
      <c r="E70">
        <v>16.306000000000001</v>
      </c>
      <c r="F70">
        <v>20.94</v>
      </c>
    </row>
    <row r="71" spans="1:6" x14ac:dyDescent="0.2">
      <c r="A71" s="4">
        <v>45938.505022580997</v>
      </c>
      <c r="B71">
        <v>951</v>
      </c>
      <c r="C71">
        <v>269.29000000000002</v>
      </c>
      <c r="D71">
        <v>16.265000000000001</v>
      </c>
      <c r="E71">
        <v>16.167000000000002</v>
      </c>
      <c r="F71">
        <v>20.94</v>
      </c>
    </row>
    <row r="72" spans="1:6" x14ac:dyDescent="0.2">
      <c r="A72" s="4">
        <v>45938.505250463</v>
      </c>
      <c r="B72">
        <v>640</v>
      </c>
      <c r="C72">
        <v>288.98</v>
      </c>
      <c r="D72">
        <v>16.164000000000001</v>
      </c>
      <c r="E72">
        <v>16.064</v>
      </c>
      <c r="F72">
        <v>20.94</v>
      </c>
    </row>
    <row r="73" spans="1:6" x14ac:dyDescent="0.2">
      <c r="A73" s="4">
        <v>45938.505466678202</v>
      </c>
      <c r="B73">
        <v>321</v>
      </c>
      <c r="C73">
        <v>307.66000000000003</v>
      </c>
      <c r="D73">
        <v>16.062999999999999</v>
      </c>
      <c r="E73">
        <v>15.967000000000001</v>
      </c>
      <c r="F73">
        <v>20.94</v>
      </c>
    </row>
    <row r="74" spans="1:6" x14ac:dyDescent="0.2">
      <c r="A74" s="4">
        <v>45938.505747476898</v>
      </c>
      <c r="B74">
        <v>582</v>
      </c>
      <c r="C74">
        <v>331.93</v>
      </c>
      <c r="D74">
        <v>15.96</v>
      </c>
      <c r="E74">
        <v>15.840999999999999</v>
      </c>
      <c r="F74">
        <v>20.94</v>
      </c>
    </row>
    <row r="75" spans="1:6" x14ac:dyDescent="0.2">
      <c r="A75" s="4">
        <v>45938.505996412001</v>
      </c>
      <c r="B75">
        <v>90</v>
      </c>
      <c r="C75">
        <v>353.43</v>
      </c>
      <c r="D75">
        <v>15.853</v>
      </c>
      <c r="E75">
        <v>15.73</v>
      </c>
      <c r="F75">
        <v>20.94</v>
      </c>
    </row>
    <row r="76" spans="1:6" x14ac:dyDescent="0.2">
      <c r="A76" s="4">
        <v>45938.506245937497</v>
      </c>
      <c r="B76">
        <v>649</v>
      </c>
      <c r="C76">
        <v>374.99</v>
      </c>
      <c r="D76">
        <v>15.750999999999999</v>
      </c>
      <c r="E76">
        <v>15.62</v>
      </c>
      <c r="F76">
        <v>20.94</v>
      </c>
    </row>
    <row r="77" spans="1:6" x14ac:dyDescent="0.2">
      <c r="A77" s="4">
        <v>45938.506473020803</v>
      </c>
      <c r="B77">
        <v>269</v>
      </c>
      <c r="C77">
        <v>394.61</v>
      </c>
      <c r="D77">
        <v>15.648999999999999</v>
      </c>
      <c r="E77">
        <v>15.521000000000001</v>
      </c>
      <c r="F77">
        <v>20.94</v>
      </c>
    </row>
    <row r="78" spans="1:6" x14ac:dyDescent="0.2">
      <c r="A78" s="4">
        <v>45938.506754016198</v>
      </c>
      <c r="B78">
        <v>547</v>
      </c>
      <c r="C78">
        <v>418.89</v>
      </c>
      <c r="D78">
        <v>15.541</v>
      </c>
      <c r="E78">
        <v>15.398</v>
      </c>
      <c r="F78">
        <v>20.94</v>
      </c>
    </row>
    <row r="79" spans="1:6" x14ac:dyDescent="0.2">
      <c r="A79" s="4">
        <v>45938.507002963001</v>
      </c>
      <c r="B79">
        <v>56</v>
      </c>
      <c r="C79">
        <v>440.4</v>
      </c>
      <c r="D79">
        <v>15.441000000000001</v>
      </c>
      <c r="E79">
        <v>15.29</v>
      </c>
      <c r="F79">
        <v>20.94</v>
      </c>
    </row>
    <row r="80" spans="1:6" x14ac:dyDescent="0.2">
      <c r="A80" s="4">
        <v>45938.507241145802</v>
      </c>
      <c r="B80">
        <v>635</v>
      </c>
      <c r="C80">
        <v>460.98</v>
      </c>
      <c r="D80">
        <v>15.34</v>
      </c>
      <c r="E80">
        <v>15.188000000000001</v>
      </c>
      <c r="F80">
        <v>20.95</v>
      </c>
    </row>
    <row r="81" spans="1:6" x14ac:dyDescent="0.2">
      <c r="A81" s="4">
        <v>45938.507500740699</v>
      </c>
      <c r="B81">
        <v>64</v>
      </c>
      <c r="C81">
        <v>483.41</v>
      </c>
      <c r="D81">
        <v>15.237</v>
      </c>
      <c r="E81">
        <v>15.077</v>
      </c>
      <c r="F81">
        <v>20.94</v>
      </c>
    </row>
    <row r="82" spans="1:6" x14ac:dyDescent="0.2">
      <c r="A82" s="4">
        <v>45938.507749791701</v>
      </c>
      <c r="B82">
        <v>582</v>
      </c>
      <c r="C82">
        <v>504.92</v>
      </c>
      <c r="D82">
        <v>15.135</v>
      </c>
      <c r="E82">
        <v>14.972</v>
      </c>
      <c r="F82">
        <v>20.94</v>
      </c>
    </row>
    <row r="83" spans="1:6" x14ac:dyDescent="0.2">
      <c r="A83" s="4">
        <v>45938.508008576398</v>
      </c>
      <c r="B83">
        <v>941</v>
      </c>
      <c r="C83">
        <v>527.28</v>
      </c>
      <c r="D83">
        <v>15.032999999999999</v>
      </c>
      <c r="E83">
        <v>14.863</v>
      </c>
      <c r="F83">
        <v>20.94</v>
      </c>
    </row>
    <row r="84" spans="1:6" x14ac:dyDescent="0.2">
      <c r="A84" s="4">
        <v>45938.5082905093</v>
      </c>
      <c r="B84">
        <v>300</v>
      </c>
      <c r="C84">
        <v>551.64</v>
      </c>
      <c r="D84">
        <v>14.930999999999999</v>
      </c>
      <c r="E84">
        <v>14.744999999999999</v>
      </c>
      <c r="F84">
        <v>20.94</v>
      </c>
    </row>
    <row r="85" spans="1:6" x14ac:dyDescent="0.2">
      <c r="A85" s="4">
        <v>45938.5085404977</v>
      </c>
      <c r="B85">
        <v>899</v>
      </c>
      <c r="C85">
        <v>573.24</v>
      </c>
      <c r="D85">
        <v>14.827999999999999</v>
      </c>
      <c r="E85">
        <v>14.641</v>
      </c>
      <c r="F85">
        <v>20.94</v>
      </c>
    </row>
    <row r="86" spans="1:6" x14ac:dyDescent="0.2">
      <c r="A86" s="4">
        <v>45938.508812118103</v>
      </c>
      <c r="B86">
        <v>367</v>
      </c>
      <c r="C86">
        <v>596.71</v>
      </c>
      <c r="D86">
        <v>14.723000000000001</v>
      </c>
      <c r="E86">
        <v>14.529</v>
      </c>
      <c r="F86">
        <v>20.95</v>
      </c>
    </row>
    <row r="87" spans="1:6" x14ac:dyDescent="0.2">
      <c r="A87" s="4">
        <v>45938.509082893499</v>
      </c>
      <c r="B87">
        <v>762</v>
      </c>
      <c r="C87">
        <v>620.11</v>
      </c>
      <c r="D87">
        <v>14.618</v>
      </c>
      <c r="E87">
        <v>14.417999999999999</v>
      </c>
      <c r="F87">
        <v>20.94</v>
      </c>
    </row>
    <row r="88" spans="1:6" x14ac:dyDescent="0.2">
      <c r="A88" s="4">
        <v>45938.509354641203</v>
      </c>
      <c r="B88">
        <v>241</v>
      </c>
      <c r="C88">
        <v>643.58000000000004</v>
      </c>
      <c r="D88">
        <v>14.518000000000001</v>
      </c>
      <c r="E88">
        <v>14.307</v>
      </c>
      <c r="F88">
        <v>20.94</v>
      </c>
    </row>
    <row r="89" spans="1:6" x14ac:dyDescent="0.2">
      <c r="A89" s="4">
        <v>45938.509625694402</v>
      </c>
      <c r="B89">
        <v>660</v>
      </c>
      <c r="C89">
        <v>667</v>
      </c>
      <c r="D89">
        <v>14.407999999999999</v>
      </c>
      <c r="E89">
        <v>14.198</v>
      </c>
      <c r="F89">
        <v>20.94</v>
      </c>
    </row>
    <row r="90" spans="1:6" x14ac:dyDescent="0.2">
      <c r="A90" s="4">
        <v>45938.509874050898</v>
      </c>
      <c r="B90">
        <v>118</v>
      </c>
      <c r="C90">
        <v>688.46</v>
      </c>
      <c r="D90">
        <v>14.295999999999999</v>
      </c>
      <c r="E90">
        <v>14.098000000000001</v>
      </c>
      <c r="F90">
        <v>20.95</v>
      </c>
    </row>
    <row r="91" spans="1:6" x14ac:dyDescent="0.2">
      <c r="A91" s="4">
        <v>45938.5101889699</v>
      </c>
      <c r="B91">
        <v>327</v>
      </c>
      <c r="C91">
        <v>715.67</v>
      </c>
      <c r="D91">
        <v>14.192</v>
      </c>
      <c r="E91">
        <v>13.973000000000001</v>
      </c>
      <c r="F91">
        <v>20.95</v>
      </c>
    </row>
    <row r="92" spans="1:6" x14ac:dyDescent="0.2">
      <c r="A92" s="4">
        <v>45938.510448564797</v>
      </c>
      <c r="B92">
        <v>756</v>
      </c>
      <c r="C92">
        <v>738.1</v>
      </c>
      <c r="D92">
        <v>14.092000000000001</v>
      </c>
      <c r="E92">
        <v>13.87</v>
      </c>
      <c r="F92">
        <v>20.95</v>
      </c>
    </row>
    <row r="93" spans="1:6" x14ac:dyDescent="0.2">
      <c r="A93" s="4">
        <v>45938.510719375001</v>
      </c>
      <c r="B93">
        <v>154</v>
      </c>
      <c r="C93">
        <v>761.5</v>
      </c>
      <c r="D93">
        <v>13.991</v>
      </c>
      <c r="E93">
        <v>13.763999999999999</v>
      </c>
      <c r="F93">
        <v>20.95</v>
      </c>
    </row>
    <row r="94" spans="1:6" x14ac:dyDescent="0.2">
      <c r="A94" s="4">
        <v>45938.511001655097</v>
      </c>
      <c r="B94">
        <v>543</v>
      </c>
      <c r="C94">
        <v>785.89</v>
      </c>
      <c r="D94">
        <v>13.891</v>
      </c>
      <c r="E94">
        <v>13.654</v>
      </c>
      <c r="F94">
        <v>20.95</v>
      </c>
    </row>
    <row r="95" spans="1:6" x14ac:dyDescent="0.2">
      <c r="A95" s="4">
        <v>45938.5112728241</v>
      </c>
      <c r="B95">
        <v>972</v>
      </c>
      <c r="C95">
        <v>809.31</v>
      </c>
      <c r="D95">
        <v>13.785</v>
      </c>
      <c r="E95">
        <v>13.548999999999999</v>
      </c>
      <c r="F95">
        <v>20.95</v>
      </c>
    </row>
    <row r="96" spans="1:6" x14ac:dyDescent="0.2">
      <c r="A96" s="4">
        <v>45938.5115532407</v>
      </c>
      <c r="B96">
        <v>200</v>
      </c>
      <c r="C96">
        <v>833.54</v>
      </c>
      <c r="D96">
        <v>13.683999999999999</v>
      </c>
      <c r="E96">
        <v>13.442</v>
      </c>
      <c r="F96">
        <v>20.95</v>
      </c>
    </row>
    <row r="97" spans="1:6" x14ac:dyDescent="0.2">
      <c r="A97" s="4">
        <v>45938.511847326401</v>
      </c>
      <c r="B97">
        <v>609</v>
      </c>
      <c r="C97">
        <v>858.95</v>
      </c>
      <c r="D97">
        <v>13.583</v>
      </c>
      <c r="E97">
        <v>13.33</v>
      </c>
      <c r="F97">
        <v>20.94</v>
      </c>
    </row>
    <row r="98" spans="1:6" x14ac:dyDescent="0.2">
      <c r="A98" s="4">
        <v>45938.512063865703</v>
      </c>
      <c r="B98">
        <v>318</v>
      </c>
      <c r="C98">
        <v>877.66</v>
      </c>
      <c r="D98">
        <v>13.483000000000001</v>
      </c>
      <c r="E98">
        <v>13.247999999999999</v>
      </c>
      <c r="F98">
        <v>20.95</v>
      </c>
    </row>
    <row r="99" spans="1:6" x14ac:dyDescent="0.2">
      <c r="A99" s="4">
        <v>45938.512369768498</v>
      </c>
      <c r="B99">
        <v>748</v>
      </c>
      <c r="C99">
        <v>904.09</v>
      </c>
      <c r="D99">
        <v>13.381</v>
      </c>
      <c r="E99">
        <v>13.132999999999999</v>
      </c>
      <c r="F99">
        <v>20.95</v>
      </c>
    </row>
    <row r="100" spans="1:6" x14ac:dyDescent="0.2">
      <c r="A100" s="4">
        <v>45938.512641377303</v>
      </c>
      <c r="B100">
        <v>215</v>
      </c>
      <c r="C100">
        <v>927.56</v>
      </c>
      <c r="D100">
        <v>13.278</v>
      </c>
      <c r="E100">
        <v>13.032</v>
      </c>
      <c r="F100">
        <v>20.95</v>
      </c>
    </row>
    <row r="101" spans="1:6" x14ac:dyDescent="0.2">
      <c r="A101" s="4">
        <v>45938.512933263897</v>
      </c>
      <c r="B101">
        <v>434</v>
      </c>
      <c r="C101">
        <v>952.78</v>
      </c>
      <c r="D101">
        <v>13.17</v>
      </c>
      <c r="E101">
        <v>12.923999999999999</v>
      </c>
      <c r="F101">
        <v>20.95</v>
      </c>
    </row>
    <row r="102" spans="1:6" x14ac:dyDescent="0.2">
      <c r="A102" s="4">
        <v>45938.513193437502</v>
      </c>
      <c r="B102">
        <v>913</v>
      </c>
      <c r="C102">
        <v>975.26</v>
      </c>
      <c r="D102">
        <v>13.068</v>
      </c>
      <c r="E102">
        <v>12.827999999999999</v>
      </c>
      <c r="F102">
        <v>20.95</v>
      </c>
    </row>
    <row r="103" spans="1:6" x14ac:dyDescent="0.2">
      <c r="A103" s="4">
        <v>45938.513478252302</v>
      </c>
      <c r="B103">
        <v>521</v>
      </c>
      <c r="C103">
        <v>999.86</v>
      </c>
      <c r="D103">
        <v>12.965</v>
      </c>
      <c r="E103">
        <v>12.724</v>
      </c>
      <c r="F103">
        <v>20.94</v>
      </c>
    </row>
    <row r="104" spans="1:6" x14ac:dyDescent="0.2">
      <c r="A104" s="4">
        <v>45938.513770486097</v>
      </c>
      <c r="B104">
        <v>770</v>
      </c>
      <c r="C104">
        <v>1025.1099999999999</v>
      </c>
      <c r="D104">
        <v>12.864000000000001</v>
      </c>
      <c r="E104">
        <v>12.618</v>
      </c>
      <c r="F104">
        <v>20.94</v>
      </c>
    </row>
    <row r="105" spans="1:6" x14ac:dyDescent="0.2">
      <c r="A105" s="4">
        <v>45938.514051828701</v>
      </c>
      <c r="B105">
        <v>78</v>
      </c>
      <c r="C105">
        <v>1049.42</v>
      </c>
      <c r="D105">
        <v>12.762</v>
      </c>
      <c r="E105">
        <v>12.516999999999999</v>
      </c>
      <c r="F105">
        <v>20.95</v>
      </c>
    </row>
    <row r="106" spans="1:6" x14ac:dyDescent="0.2">
      <c r="A106" s="4">
        <v>45938.514356562497</v>
      </c>
      <c r="B106">
        <v>407</v>
      </c>
      <c r="C106">
        <v>1075.75</v>
      </c>
      <c r="D106">
        <v>12.66</v>
      </c>
      <c r="E106">
        <v>12.409000000000001</v>
      </c>
      <c r="F106">
        <v>20.94</v>
      </c>
    </row>
    <row r="107" spans="1:6" x14ac:dyDescent="0.2">
      <c r="A107" s="4">
        <v>45938.514628773097</v>
      </c>
      <c r="B107">
        <v>926</v>
      </c>
      <c r="C107">
        <v>1099.27</v>
      </c>
      <c r="D107">
        <v>12.553000000000001</v>
      </c>
      <c r="E107">
        <v>12.311999999999999</v>
      </c>
      <c r="F107">
        <v>20.95</v>
      </c>
    </row>
    <row r="108" spans="1:6" x14ac:dyDescent="0.2">
      <c r="A108" s="4">
        <v>45938.514943333299</v>
      </c>
      <c r="B108">
        <v>104</v>
      </c>
      <c r="C108">
        <v>1126.45</v>
      </c>
      <c r="D108">
        <v>12.452</v>
      </c>
      <c r="E108">
        <v>12.202</v>
      </c>
      <c r="F108">
        <v>20.94</v>
      </c>
    </row>
    <row r="109" spans="1:6" x14ac:dyDescent="0.2">
      <c r="A109" s="4">
        <v>45938.515270509299</v>
      </c>
      <c r="B109">
        <v>372</v>
      </c>
      <c r="C109">
        <v>1154.72</v>
      </c>
      <c r="D109">
        <v>12.321999999999999</v>
      </c>
      <c r="E109">
        <v>12.087999999999999</v>
      </c>
      <c r="F109">
        <v>20.95</v>
      </c>
    </row>
    <row r="110" spans="1:6" x14ac:dyDescent="0.2">
      <c r="A110" s="4">
        <v>45938.515607187503</v>
      </c>
      <c r="B110">
        <v>461</v>
      </c>
      <c r="C110">
        <v>1183.8</v>
      </c>
      <c r="D110">
        <v>12.22</v>
      </c>
      <c r="E110">
        <v>11.972</v>
      </c>
      <c r="F110">
        <v>20.95</v>
      </c>
    </row>
    <row r="111" spans="1:6" x14ac:dyDescent="0.2">
      <c r="A111" s="4">
        <v>45938.515900104197</v>
      </c>
      <c r="B111">
        <v>769</v>
      </c>
      <c r="C111">
        <v>1209.1099999999999</v>
      </c>
      <c r="D111">
        <v>12.116</v>
      </c>
      <c r="E111">
        <v>11.872</v>
      </c>
      <c r="F111">
        <v>20.94</v>
      </c>
    </row>
    <row r="112" spans="1:6" x14ac:dyDescent="0.2">
      <c r="A112" s="4">
        <v>45938.516193263902</v>
      </c>
      <c r="B112">
        <v>98</v>
      </c>
      <c r="C112">
        <v>1234.44</v>
      </c>
      <c r="D112">
        <v>12.010999999999999</v>
      </c>
      <c r="E112">
        <v>11.772</v>
      </c>
      <c r="F112">
        <v>20.94</v>
      </c>
    </row>
    <row r="113" spans="1:6" x14ac:dyDescent="0.2">
      <c r="A113" s="4">
        <v>45938.516518356497</v>
      </c>
      <c r="B113">
        <v>186</v>
      </c>
      <c r="C113">
        <v>1262.53</v>
      </c>
      <c r="D113">
        <v>11.906000000000001</v>
      </c>
      <c r="E113">
        <v>11.663</v>
      </c>
      <c r="F113">
        <v>20.94</v>
      </c>
    </row>
    <row r="114" spans="1:6" x14ac:dyDescent="0.2">
      <c r="A114" s="4">
        <v>45938.516811053203</v>
      </c>
      <c r="B114">
        <v>475</v>
      </c>
      <c r="C114">
        <v>1287.82</v>
      </c>
      <c r="D114">
        <v>11.804</v>
      </c>
      <c r="E114">
        <v>11.565</v>
      </c>
      <c r="F114">
        <v>20.94</v>
      </c>
    </row>
    <row r="115" spans="1:6" x14ac:dyDescent="0.2">
      <c r="A115" s="4">
        <v>45938.517114166702</v>
      </c>
      <c r="B115">
        <v>664</v>
      </c>
      <c r="C115">
        <v>1314.01</v>
      </c>
      <c r="D115">
        <v>11.7</v>
      </c>
      <c r="E115">
        <v>11.465</v>
      </c>
      <c r="F115">
        <v>20.94</v>
      </c>
    </row>
    <row r="116" spans="1:6" x14ac:dyDescent="0.2">
      <c r="A116" s="4">
        <v>45938.517439027797</v>
      </c>
      <c r="B116">
        <v>732</v>
      </c>
      <c r="C116">
        <v>1342.07</v>
      </c>
      <c r="D116">
        <v>11.592000000000001</v>
      </c>
      <c r="E116">
        <v>11.358000000000001</v>
      </c>
      <c r="F116">
        <v>20.94</v>
      </c>
    </row>
    <row r="117" spans="1:6" x14ac:dyDescent="0.2">
      <c r="A117" s="4">
        <v>45938.517730439802</v>
      </c>
      <c r="B117">
        <v>910</v>
      </c>
      <c r="C117">
        <v>1367.25</v>
      </c>
      <c r="D117">
        <v>11.49</v>
      </c>
      <c r="E117">
        <v>11.263</v>
      </c>
      <c r="F117">
        <v>20.94</v>
      </c>
    </row>
    <row r="118" spans="1:6" x14ac:dyDescent="0.2">
      <c r="A118" s="4">
        <v>45938.518088298602</v>
      </c>
      <c r="B118">
        <v>829</v>
      </c>
      <c r="C118">
        <v>1398.17</v>
      </c>
      <c r="D118">
        <v>11.385999999999999</v>
      </c>
      <c r="E118">
        <v>11.147</v>
      </c>
      <c r="F118">
        <v>20.94</v>
      </c>
    </row>
    <row r="119" spans="1:6" x14ac:dyDescent="0.2">
      <c r="A119" s="4">
        <v>45938.518370104197</v>
      </c>
      <c r="B119">
        <v>177</v>
      </c>
      <c r="C119">
        <v>1422.52</v>
      </c>
      <c r="D119">
        <v>11.276</v>
      </c>
      <c r="E119">
        <v>11.057</v>
      </c>
      <c r="F119">
        <v>20.94</v>
      </c>
    </row>
    <row r="120" spans="1:6" x14ac:dyDescent="0.2">
      <c r="A120" s="4">
        <v>45938.518752604199</v>
      </c>
      <c r="B120">
        <v>225</v>
      </c>
      <c r="C120">
        <v>1455.57</v>
      </c>
      <c r="D120">
        <v>11.17</v>
      </c>
      <c r="E120">
        <v>10.936</v>
      </c>
      <c r="F120">
        <v>20.94</v>
      </c>
    </row>
    <row r="121" spans="1:6" x14ac:dyDescent="0.2">
      <c r="A121" s="4">
        <v>45938.5190899769</v>
      </c>
      <c r="B121">
        <v>374</v>
      </c>
      <c r="C121">
        <v>1484.72</v>
      </c>
      <c r="D121">
        <v>11.069000000000001</v>
      </c>
      <c r="E121">
        <v>10.829000000000001</v>
      </c>
      <c r="F121">
        <v>20.94</v>
      </c>
    </row>
    <row r="122" spans="1:6" x14ac:dyDescent="0.2">
      <c r="A122" s="4">
        <v>45938.519393287002</v>
      </c>
      <c r="B122">
        <v>580</v>
      </c>
      <c r="C122">
        <v>1510.92</v>
      </c>
      <c r="D122">
        <v>10.968999999999999</v>
      </c>
      <c r="E122">
        <v>10.734999999999999</v>
      </c>
      <c r="F122">
        <v>20.94</v>
      </c>
    </row>
    <row r="123" spans="1:6" x14ac:dyDescent="0.2">
      <c r="A123" s="4">
        <v>45938.519708460597</v>
      </c>
      <c r="B123">
        <v>811</v>
      </c>
      <c r="C123">
        <v>1538.15</v>
      </c>
      <c r="D123">
        <v>10.864000000000001</v>
      </c>
      <c r="E123">
        <v>10.637</v>
      </c>
      <c r="F123">
        <v>20.94</v>
      </c>
    </row>
    <row r="124" spans="1:6" x14ac:dyDescent="0.2">
      <c r="A124" s="4">
        <v>45938.520022071803</v>
      </c>
      <c r="B124">
        <v>907</v>
      </c>
      <c r="C124">
        <v>1565.25</v>
      </c>
      <c r="D124">
        <v>10.763999999999999</v>
      </c>
      <c r="E124">
        <v>10.541</v>
      </c>
      <c r="F124">
        <v>20.94</v>
      </c>
    </row>
    <row r="125" spans="1:6" x14ac:dyDescent="0.2">
      <c r="A125" s="4">
        <v>45938.5203482176</v>
      </c>
      <c r="B125">
        <v>86</v>
      </c>
      <c r="C125">
        <v>1593.43</v>
      </c>
      <c r="D125">
        <v>10.661</v>
      </c>
      <c r="E125">
        <v>10.442</v>
      </c>
      <c r="F125">
        <v>20.94</v>
      </c>
    </row>
    <row r="126" spans="1:6" x14ac:dyDescent="0.2">
      <c r="A126" s="4">
        <v>45938.520674351901</v>
      </c>
      <c r="B126">
        <v>264</v>
      </c>
      <c r="C126">
        <v>1621.61</v>
      </c>
      <c r="D126">
        <v>10.558999999999999</v>
      </c>
      <c r="E126">
        <v>10.343999999999999</v>
      </c>
      <c r="F126">
        <v>20.94</v>
      </c>
    </row>
    <row r="127" spans="1:6" x14ac:dyDescent="0.2">
      <c r="A127" s="4">
        <v>45938.5209780324</v>
      </c>
      <c r="B127">
        <v>502</v>
      </c>
      <c r="C127">
        <v>1647.84</v>
      </c>
      <c r="D127">
        <v>10.454000000000001</v>
      </c>
      <c r="E127">
        <v>10.253</v>
      </c>
      <c r="F127">
        <v>20.94</v>
      </c>
    </row>
    <row r="128" spans="1:6" x14ac:dyDescent="0.2">
      <c r="A128" s="4">
        <v>45938.521346770802</v>
      </c>
      <c r="B128">
        <v>361</v>
      </c>
      <c r="C128">
        <v>1679.7</v>
      </c>
      <c r="D128">
        <v>10.353999999999999</v>
      </c>
      <c r="E128">
        <v>10.143000000000001</v>
      </c>
      <c r="F128">
        <v>20.94</v>
      </c>
    </row>
    <row r="129" spans="1:6" x14ac:dyDescent="0.2">
      <c r="A129" s="4">
        <v>45938.521692928203</v>
      </c>
      <c r="B129">
        <v>269</v>
      </c>
      <c r="C129">
        <v>1709.61</v>
      </c>
      <c r="D129">
        <v>10.244</v>
      </c>
      <c r="E129">
        <v>10.042</v>
      </c>
      <c r="F129">
        <v>20.94</v>
      </c>
    </row>
    <row r="130" spans="1:6" x14ac:dyDescent="0.2">
      <c r="A130" s="4">
        <v>45938.522029363397</v>
      </c>
      <c r="B130">
        <v>337</v>
      </c>
      <c r="C130">
        <v>1738.68</v>
      </c>
      <c r="D130">
        <v>10.144</v>
      </c>
      <c r="E130">
        <v>9.9440000000000008</v>
      </c>
      <c r="F130">
        <v>20.94</v>
      </c>
    </row>
    <row r="131" spans="1:6" x14ac:dyDescent="0.2">
      <c r="A131" s="4">
        <v>45938.522387905097</v>
      </c>
      <c r="B131">
        <v>315</v>
      </c>
      <c r="C131">
        <v>1769.66</v>
      </c>
      <c r="D131">
        <v>10.042999999999999</v>
      </c>
      <c r="E131">
        <v>9.84</v>
      </c>
      <c r="F131">
        <v>20.94</v>
      </c>
    </row>
    <row r="132" spans="1:6" x14ac:dyDescent="0.2">
      <c r="A132" s="4">
        <v>45938.5227025926</v>
      </c>
      <c r="B132">
        <v>504</v>
      </c>
      <c r="C132">
        <v>1796.85</v>
      </c>
      <c r="D132">
        <v>9.9420000000000002</v>
      </c>
      <c r="E132">
        <v>9.7509999999999994</v>
      </c>
      <c r="F132">
        <v>20.94</v>
      </c>
    </row>
    <row r="133" spans="1:6" x14ac:dyDescent="0.2">
      <c r="A133" s="4">
        <v>45938.523049328702</v>
      </c>
      <c r="B133">
        <v>462</v>
      </c>
      <c r="C133">
        <v>1826.8</v>
      </c>
      <c r="D133">
        <v>9.8420000000000005</v>
      </c>
      <c r="E133">
        <v>9.6519999999999992</v>
      </c>
      <c r="F133">
        <v>20.94</v>
      </c>
    </row>
    <row r="134" spans="1:6" x14ac:dyDescent="0.2">
      <c r="A134" s="4">
        <v>45938.523375821802</v>
      </c>
      <c r="B134">
        <v>671</v>
      </c>
      <c r="C134">
        <v>1855.01</v>
      </c>
      <c r="D134">
        <v>9.7420000000000009</v>
      </c>
      <c r="E134">
        <v>9.5609999999999999</v>
      </c>
      <c r="F134">
        <v>20.94</v>
      </c>
    </row>
    <row r="135" spans="1:6" x14ac:dyDescent="0.2">
      <c r="A135" s="4">
        <v>45938.523712488401</v>
      </c>
      <c r="B135">
        <v>759</v>
      </c>
      <c r="C135">
        <v>1884.1</v>
      </c>
      <c r="D135">
        <v>9.6379999999999999</v>
      </c>
      <c r="E135">
        <v>9.4670000000000005</v>
      </c>
      <c r="F135">
        <v>20.94</v>
      </c>
    </row>
    <row r="136" spans="1:6" x14ac:dyDescent="0.2">
      <c r="A136" s="4">
        <v>45938.524113854197</v>
      </c>
      <c r="B136">
        <v>437</v>
      </c>
      <c r="C136">
        <v>1918.78</v>
      </c>
      <c r="D136">
        <v>9.5370000000000008</v>
      </c>
      <c r="E136">
        <v>9.3559999999999999</v>
      </c>
      <c r="F136">
        <v>20.94</v>
      </c>
    </row>
    <row r="137" spans="1:6" x14ac:dyDescent="0.2">
      <c r="A137" s="4">
        <v>45938.524472974503</v>
      </c>
      <c r="B137">
        <v>465</v>
      </c>
      <c r="C137">
        <v>1949.81</v>
      </c>
      <c r="D137">
        <v>9.43</v>
      </c>
      <c r="E137">
        <v>9.2579999999999991</v>
      </c>
      <c r="F137">
        <v>20.94</v>
      </c>
    </row>
    <row r="138" spans="1:6" x14ac:dyDescent="0.2">
      <c r="A138" s="4">
        <v>45938.524841585597</v>
      </c>
      <c r="B138">
        <v>313</v>
      </c>
      <c r="C138">
        <v>1981.66</v>
      </c>
      <c r="D138">
        <v>9.327</v>
      </c>
      <c r="E138">
        <v>9.1590000000000007</v>
      </c>
      <c r="F138">
        <v>20.94</v>
      </c>
    </row>
    <row r="139" spans="1:6" x14ac:dyDescent="0.2">
      <c r="A139" s="4">
        <v>45938.525232824097</v>
      </c>
      <c r="B139">
        <v>116</v>
      </c>
      <c r="C139">
        <v>2015.46</v>
      </c>
      <c r="D139">
        <v>9.2089999999999996</v>
      </c>
      <c r="E139">
        <v>9.0540000000000003</v>
      </c>
      <c r="F139">
        <v>20.94</v>
      </c>
    </row>
    <row r="140" spans="1:6" x14ac:dyDescent="0.2">
      <c r="A140" s="4">
        <v>45938.525667986098</v>
      </c>
      <c r="B140">
        <v>714</v>
      </c>
      <c r="C140">
        <v>2053.06</v>
      </c>
      <c r="D140">
        <v>9.1039999999999992</v>
      </c>
      <c r="E140">
        <v>8.9390000000000001</v>
      </c>
      <c r="F140">
        <v>20.94</v>
      </c>
    </row>
    <row r="141" spans="1:6" x14ac:dyDescent="0.2">
      <c r="A141" s="4">
        <v>45938.526047013896</v>
      </c>
      <c r="B141">
        <v>462</v>
      </c>
      <c r="C141">
        <v>2085.8000000000002</v>
      </c>
      <c r="D141">
        <v>8.9960000000000004</v>
      </c>
      <c r="E141">
        <v>8.84</v>
      </c>
      <c r="F141">
        <v>20.94</v>
      </c>
    </row>
    <row r="142" spans="1:6" x14ac:dyDescent="0.2">
      <c r="A142" s="4">
        <v>45938.526438298599</v>
      </c>
      <c r="B142">
        <v>269</v>
      </c>
      <c r="C142">
        <v>2119.61</v>
      </c>
      <c r="D142">
        <v>8.8949999999999996</v>
      </c>
      <c r="E142">
        <v>8.7379999999999995</v>
      </c>
      <c r="F142">
        <v>20.94</v>
      </c>
    </row>
    <row r="143" spans="1:6" x14ac:dyDescent="0.2">
      <c r="A143" s="4">
        <v>45938.526829479197</v>
      </c>
      <c r="B143">
        <v>67</v>
      </c>
      <c r="C143">
        <v>2153.41</v>
      </c>
      <c r="D143">
        <v>8.7880000000000003</v>
      </c>
      <c r="E143">
        <v>8.6379999999999999</v>
      </c>
      <c r="F143">
        <v>20.94</v>
      </c>
    </row>
    <row r="144" spans="1:6" x14ac:dyDescent="0.2">
      <c r="A144" s="4">
        <v>45938.527212210603</v>
      </c>
      <c r="B144">
        <v>135</v>
      </c>
      <c r="C144">
        <v>2186.48</v>
      </c>
      <c r="D144">
        <v>8.6859999999999999</v>
      </c>
      <c r="E144">
        <v>8.5410000000000004</v>
      </c>
      <c r="F144">
        <v>20.94</v>
      </c>
    </row>
    <row r="145" spans="1:6" x14ac:dyDescent="0.2">
      <c r="A145" s="4">
        <v>45938.5276149653</v>
      </c>
      <c r="B145">
        <v>933</v>
      </c>
      <c r="C145">
        <v>2221.2800000000002</v>
      </c>
      <c r="D145">
        <v>8.5830000000000002</v>
      </c>
      <c r="E145">
        <v>8.44</v>
      </c>
      <c r="F145">
        <v>20.94</v>
      </c>
    </row>
    <row r="146" spans="1:6" x14ac:dyDescent="0.2">
      <c r="A146" s="4">
        <v>45938.527984849497</v>
      </c>
      <c r="B146">
        <v>891</v>
      </c>
      <c r="C146">
        <v>2253.23</v>
      </c>
      <c r="D146">
        <v>8.4830000000000005</v>
      </c>
      <c r="E146">
        <v>8.3480000000000008</v>
      </c>
      <c r="F146">
        <v>20.94</v>
      </c>
    </row>
    <row r="147" spans="1:6" x14ac:dyDescent="0.2">
      <c r="A147" s="4">
        <v>45938.528407106503</v>
      </c>
      <c r="B147">
        <v>374</v>
      </c>
      <c r="C147">
        <v>2289.7199999999998</v>
      </c>
      <c r="D147">
        <v>8.3810000000000002</v>
      </c>
      <c r="E147">
        <v>8.2439999999999998</v>
      </c>
      <c r="F147">
        <v>20.94</v>
      </c>
    </row>
    <row r="148" spans="1:6" x14ac:dyDescent="0.2">
      <c r="A148" s="4">
        <v>45938.528819351901</v>
      </c>
      <c r="B148">
        <v>992</v>
      </c>
      <c r="C148">
        <v>2325.33</v>
      </c>
      <c r="D148">
        <v>8.2789999999999999</v>
      </c>
      <c r="E148">
        <v>8.1430000000000007</v>
      </c>
      <c r="F148">
        <v>20.94</v>
      </c>
    </row>
    <row r="149" spans="1:6" x14ac:dyDescent="0.2">
      <c r="A149" s="4">
        <v>45938.529211226902</v>
      </c>
      <c r="B149">
        <v>850</v>
      </c>
      <c r="C149">
        <v>2359.19</v>
      </c>
      <c r="D149">
        <v>8.1769999999999996</v>
      </c>
      <c r="E149">
        <v>8.0489999999999995</v>
      </c>
      <c r="F149">
        <v>20.94</v>
      </c>
    </row>
    <row r="150" spans="1:6" x14ac:dyDescent="0.2">
      <c r="A150" s="4">
        <v>45938.529613286999</v>
      </c>
      <c r="B150">
        <v>588</v>
      </c>
      <c r="C150">
        <v>2393.9299999999998</v>
      </c>
      <c r="D150">
        <v>8.0749999999999993</v>
      </c>
      <c r="E150">
        <v>7.9530000000000003</v>
      </c>
      <c r="F150">
        <v>20.95</v>
      </c>
    </row>
    <row r="151" spans="1:6" x14ac:dyDescent="0.2">
      <c r="A151" s="4">
        <v>45938.530047638902</v>
      </c>
      <c r="B151">
        <v>116</v>
      </c>
      <c r="C151">
        <v>2431.46</v>
      </c>
      <c r="D151">
        <v>7.9720000000000004</v>
      </c>
      <c r="E151">
        <v>7.851</v>
      </c>
      <c r="F151">
        <v>20.94</v>
      </c>
    </row>
    <row r="152" spans="1:6" x14ac:dyDescent="0.2">
      <c r="A152" s="4">
        <v>45938.530481307898</v>
      </c>
      <c r="B152">
        <v>585</v>
      </c>
      <c r="C152">
        <v>2468.9299999999998</v>
      </c>
      <c r="D152">
        <v>7.8680000000000003</v>
      </c>
      <c r="E152">
        <v>7.75</v>
      </c>
      <c r="F152">
        <v>20.94</v>
      </c>
    </row>
    <row r="153" spans="1:6" x14ac:dyDescent="0.2">
      <c r="A153" s="4">
        <v>45938.530883599502</v>
      </c>
      <c r="B153">
        <v>343</v>
      </c>
      <c r="C153">
        <v>2503.69</v>
      </c>
      <c r="D153">
        <v>7.766</v>
      </c>
      <c r="E153">
        <v>7.657</v>
      </c>
      <c r="F153">
        <v>20.95</v>
      </c>
    </row>
    <row r="154" spans="1:6" x14ac:dyDescent="0.2">
      <c r="A154" s="4">
        <v>45938.531307766199</v>
      </c>
      <c r="B154">
        <v>991</v>
      </c>
      <c r="C154">
        <v>2540.33</v>
      </c>
      <c r="D154">
        <v>7.6630000000000003</v>
      </c>
      <c r="E154">
        <v>7.56</v>
      </c>
      <c r="F154">
        <v>20.94</v>
      </c>
    </row>
    <row r="155" spans="1:6" x14ac:dyDescent="0.2">
      <c r="A155" s="4">
        <v>45938.531752534698</v>
      </c>
      <c r="B155">
        <v>419</v>
      </c>
      <c r="C155">
        <v>2578.7600000000002</v>
      </c>
      <c r="D155">
        <v>7.5590000000000002</v>
      </c>
      <c r="E155">
        <v>7.46</v>
      </c>
      <c r="F155">
        <v>20.94</v>
      </c>
    </row>
    <row r="156" spans="1:6" x14ac:dyDescent="0.2">
      <c r="A156" s="4">
        <v>45938.532209560202</v>
      </c>
      <c r="B156">
        <v>906</v>
      </c>
      <c r="C156">
        <v>2618.25</v>
      </c>
      <c r="D156">
        <v>7.4550000000000001</v>
      </c>
      <c r="E156">
        <v>7.3579999999999997</v>
      </c>
      <c r="F156">
        <v>20.94</v>
      </c>
    </row>
    <row r="157" spans="1:6" x14ac:dyDescent="0.2">
      <c r="A157" s="4">
        <v>45938.532675972201</v>
      </c>
      <c r="B157">
        <v>204</v>
      </c>
      <c r="C157">
        <v>2658.55</v>
      </c>
      <c r="D157">
        <v>7.351</v>
      </c>
      <c r="E157">
        <v>7.2560000000000002</v>
      </c>
      <c r="F157">
        <v>20.95</v>
      </c>
    </row>
    <row r="158" spans="1:6" x14ac:dyDescent="0.2">
      <c r="A158" s="4">
        <v>45938.533154421297</v>
      </c>
      <c r="B158">
        <v>542</v>
      </c>
      <c r="C158">
        <v>2699.88</v>
      </c>
      <c r="D158">
        <v>7.2290000000000001</v>
      </c>
      <c r="E158">
        <v>7.1520000000000001</v>
      </c>
      <c r="F158">
        <v>20.95</v>
      </c>
    </row>
    <row r="159" spans="1:6" x14ac:dyDescent="0.2">
      <c r="A159" s="4">
        <v>45938.533710463002</v>
      </c>
      <c r="B159">
        <v>584</v>
      </c>
      <c r="C159">
        <v>2747.93</v>
      </c>
      <c r="D159">
        <v>7.1150000000000002</v>
      </c>
      <c r="E159">
        <v>7.0330000000000004</v>
      </c>
      <c r="F159">
        <v>20.95</v>
      </c>
    </row>
    <row r="160" spans="1:6" x14ac:dyDescent="0.2">
      <c r="A160" s="4">
        <v>45938.5341665741</v>
      </c>
      <c r="B160">
        <v>992</v>
      </c>
      <c r="C160">
        <v>2787.33</v>
      </c>
      <c r="D160">
        <v>7.0140000000000002</v>
      </c>
      <c r="E160">
        <v>6.9359999999999999</v>
      </c>
      <c r="F160">
        <v>20.94</v>
      </c>
    </row>
    <row r="161" spans="1:6" x14ac:dyDescent="0.2">
      <c r="A161" s="4">
        <v>45938.534667349501</v>
      </c>
      <c r="B161">
        <v>259</v>
      </c>
      <c r="C161">
        <v>2830.6</v>
      </c>
      <c r="D161">
        <v>6.9119999999999999</v>
      </c>
      <c r="E161">
        <v>6.8319999999999999</v>
      </c>
      <c r="F161">
        <v>20.94</v>
      </c>
    </row>
    <row r="162" spans="1:6" x14ac:dyDescent="0.2">
      <c r="A162" s="4">
        <v>45938.535124155103</v>
      </c>
      <c r="B162">
        <v>727</v>
      </c>
      <c r="C162">
        <v>2870.07</v>
      </c>
      <c r="D162">
        <v>6.8120000000000003</v>
      </c>
      <c r="E162">
        <v>6.7380000000000004</v>
      </c>
      <c r="F162">
        <v>20.94</v>
      </c>
    </row>
    <row r="163" spans="1:6" x14ac:dyDescent="0.2">
      <c r="A163" s="4">
        <v>45938.535624583303</v>
      </c>
      <c r="B163">
        <v>964</v>
      </c>
      <c r="C163">
        <v>2913.31</v>
      </c>
      <c r="D163">
        <v>6.71</v>
      </c>
      <c r="E163">
        <v>6.6360000000000001</v>
      </c>
      <c r="F163">
        <v>20.95</v>
      </c>
    </row>
    <row r="164" spans="1:6" x14ac:dyDescent="0.2">
      <c r="A164" s="4">
        <v>45938.536113333299</v>
      </c>
      <c r="B164">
        <v>192</v>
      </c>
      <c r="C164">
        <v>2955.54</v>
      </c>
      <c r="D164">
        <v>6.6059999999999999</v>
      </c>
      <c r="E164">
        <v>6.5380000000000003</v>
      </c>
      <c r="F164">
        <v>20.96</v>
      </c>
    </row>
    <row r="165" spans="1:6" x14ac:dyDescent="0.2">
      <c r="A165" s="4">
        <v>45938.5365916667</v>
      </c>
      <c r="B165">
        <v>520</v>
      </c>
      <c r="C165">
        <v>2996.86</v>
      </c>
      <c r="D165">
        <v>6.5</v>
      </c>
      <c r="E165">
        <v>6.4429999999999996</v>
      </c>
      <c r="F165">
        <v>20.95</v>
      </c>
    </row>
    <row r="166" spans="1:6" x14ac:dyDescent="0.2">
      <c r="A166" s="4">
        <v>45938.537168252296</v>
      </c>
      <c r="B166">
        <v>337</v>
      </c>
      <c r="C166">
        <v>3046.68</v>
      </c>
      <c r="D166">
        <v>6.3959999999999999</v>
      </c>
      <c r="E166">
        <v>6.33</v>
      </c>
      <c r="F166">
        <v>20.95</v>
      </c>
    </row>
    <row r="167" spans="1:6" x14ac:dyDescent="0.2">
      <c r="A167" s="4">
        <v>45938.537688472199</v>
      </c>
      <c r="B167">
        <v>284</v>
      </c>
      <c r="C167">
        <v>3091.63</v>
      </c>
      <c r="D167">
        <v>6.2939999999999996</v>
      </c>
      <c r="E167">
        <v>6.23</v>
      </c>
      <c r="F167">
        <v>20.95</v>
      </c>
    </row>
    <row r="168" spans="1:6" x14ac:dyDescent="0.2">
      <c r="A168" s="4">
        <v>45938.538211134299</v>
      </c>
      <c r="B168">
        <v>442</v>
      </c>
      <c r="C168">
        <v>3136.79</v>
      </c>
      <c r="D168">
        <v>6.194</v>
      </c>
      <c r="E168">
        <v>6.1310000000000002</v>
      </c>
      <c r="F168">
        <v>20.95</v>
      </c>
    </row>
    <row r="169" spans="1:6" x14ac:dyDescent="0.2">
      <c r="A169" s="4">
        <v>45938.538787835598</v>
      </c>
      <c r="B169">
        <v>269</v>
      </c>
      <c r="C169">
        <v>3186.61</v>
      </c>
      <c r="D169">
        <v>6.093</v>
      </c>
      <c r="E169">
        <v>6.0220000000000002</v>
      </c>
      <c r="F169">
        <v>20.95</v>
      </c>
    </row>
    <row r="170" spans="1:6" x14ac:dyDescent="0.2">
      <c r="A170" s="4">
        <v>45938.539319166703</v>
      </c>
      <c r="B170">
        <v>176</v>
      </c>
      <c r="C170">
        <v>3232.52</v>
      </c>
      <c r="D170">
        <v>5.992</v>
      </c>
      <c r="E170">
        <v>5.9240000000000004</v>
      </c>
      <c r="F170">
        <v>20.95</v>
      </c>
    </row>
    <row r="171" spans="1:6" x14ac:dyDescent="0.2">
      <c r="A171" s="4">
        <v>45938.539873657399</v>
      </c>
      <c r="B171">
        <v>84</v>
      </c>
      <c r="C171">
        <v>3280.43</v>
      </c>
      <c r="D171">
        <v>5.8890000000000002</v>
      </c>
      <c r="E171">
        <v>5.8230000000000004</v>
      </c>
      <c r="F171">
        <v>20.95</v>
      </c>
    </row>
    <row r="172" spans="1:6" x14ac:dyDescent="0.2">
      <c r="A172" s="4">
        <v>45938.540470509302</v>
      </c>
      <c r="B172">
        <v>652</v>
      </c>
      <c r="C172">
        <v>3331.99</v>
      </c>
      <c r="D172">
        <v>5.7869999999999999</v>
      </c>
      <c r="E172">
        <v>5.7169999999999996</v>
      </c>
      <c r="F172">
        <v>20.95</v>
      </c>
    </row>
    <row r="173" spans="1:6" x14ac:dyDescent="0.2">
      <c r="A173" s="4">
        <v>45938.541046516199</v>
      </c>
      <c r="B173">
        <v>419</v>
      </c>
      <c r="C173">
        <v>3381.76</v>
      </c>
      <c r="D173">
        <v>5.6829999999999998</v>
      </c>
      <c r="E173">
        <v>5.6150000000000002</v>
      </c>
      <c r="F173">
        <v>20.95</v>
      </c>
    </row>
    <row r="174" spans="1:6" x14ac:dyDescent="0.2">
      <c r="A174" s="4">
        <v>45938.541568703702</v>
      </c>
      <c r="B174">
        <v>536</v>
      </c>
      <c r="C174">
        <v>3426.88</v>
      </c>
      <c r="D174">
        <v>5.5819999999999999</v>
      </c>
      <c r="E174">
        <v>5.524</v>
      </c>
      <c r="F174">
        <v>20.95</v>
      </c>
    </row>
    <row r="175" spans="1:6" x14ac:dyDescent="0.2">
      <c r="A175" s="4">
        <v>45938.542154780102</v>
      </c>
      <c r="B175">
        <v>173</v>
      </c>
      <c r="C175">
        <v>3477.52</v>
      </c>
      <c r="D175">
        <v>5.4790000000000001</v>
      </c>
      <c r="E175">
        <v>5.4240000000000004</v>
      </c>
      <c r="F175">
        <v>20.95</v>
      </c>
    </row>
    <row r="176" spans="1:6" x14ac:dyDescent="0.2">
      <c r="A176" s="4">
        <v>45938.5427305556</v>
      </c>
      <c r="B176">
        <v>920</v>
      </c>
      <c r="C176">
        <v>3527.26</v>
      </c>
      <c r="D176">
        <v>5.3769999999999998</v>
      </c>
      <c r="E176">
        <v>5.3259999999999996</v>
      </c>
      <c r="F176">
        <v>20.96</v>
      </c>
    </row>
    <row r="177" spans="1:6" x14ac:dyDescent="0.2">
      <c r="A177" s="4">
        <v>45938.543293958297</v>
      </c>
      <c r="B177">
        <v>598</v>
      </c>
      <c r="C177">
        <v>3575.94</v>
      </c>
      <c r="D177">
        <v>5.2759999999999998</v>
      </c>
      <c r="E177">
        <v>5.2329999999999997</v>
      </c>
      <c r="F177">
        <v>20.96</v>
      </c>
    </row>
    <row r="178" spans="1:6" x14ac:dyDescent="0.2">
      <c r="A178" s="4">
        <v>45938.543826793997</v>
      </c>
      <c r="B178">
        <v>635</v>
      </c>
      <c r="C178">
        <v>3621.98</v>
      </c>
      <c r="D178">
        <v>5.173</v>
      </c>
      <c r="E178">
        <v>5.1449999999999996</v>
      </c>
      <c r="F178">
        <v>20.96</v>
      </c>
    </row>
    <row r="179" spans="1:6" x14ac:dyDescent="0.2">
      <c r="A179" s="4">
        <v>45938.544491226901</v>
      </c>
      <c r="B179">
        <v>42</v>
      </c>
      <c r="C179">
        <v>3679.38</v>
      </c>
      <c r="D179">
        <v>5.0709999999999997</v>
      </c>
      <c r="E179">
        <v>5.0380000000000003</v>
      </c>
      <c r="F179">
        <v>20.96</v>
      </c>
    </row>
    <row r="180" spans="1:6" x14ac:dyDescent="0.2">
      <c r="A180" s="4">
        <v>45938.545087835701</v>
      </c>
      <c r="B180">
        <v>589</v>
      </c>
      <c r="C180">
        <v>3730.93</v>
      </c>
      <c r="D180">
        <v>4.9690000000000003</v>
      </c>
      <c r="E180">
        <v>4.944</v>
      </c>
      <c r="F180">
        <v>20.95</v>
      </c>
    </row>
    <row r="181" spans="1:6" x14ac:dyDescent="0.2">
      <c r="A181" s="4">
        <v>45938.545717314802</v>
      </c>
      <c r="B181">
        <v>976</v>
      </c>
      <c r="C181">
        <v>3785.32</v>
      </c>
      <c r="D181">
        <v>4.8680000000000003</v>
      </c>
      <c r="E181">
        <v>4.8449999999999998</v>
      </c>
      <c r="F181">
        <v>20.96</v>
      </c>
    </row>
    <row r="182" spans="1:6" x14ac:dyDescent="0.2">
      <c r="A182" s="4">
        <v>45938.546369351898</v>
      </c>
      <c r="B182">
        <v>312</v>
      </c>
      <c r="C182">
        <v>3841.66</v>
      </c>
      <c r="D182">
        <v>4.766</v>
      </c>
      <c r="E182">
        <v>4.7450000000000001</v>
      </c>
      <c r="F182">
        <v>20.97</v>
      </c>
    </row>
    <row r="183" spans="1:6" x14ac:dyDescent="0.2">
      <c r="A183" s="4">
        <v>45938.5470114583</v>
      </c>
      <c r="B183">
        <v>790</v>
      </c>
      <c r="C183">
        <v>3897.13</v>
      </c>
      <c r="D183">
        <v>4.6630000000000003</v>
      </c>
      <c r="E183">
        <v>4.649</v>
      </c>
      <c r="F183">
        <v>20.96</v>
      </c>
    </row>
    <row r="184" spans="1:6" x14ac:dyDescent="0.2">
      <c r="A184" s="4">
        <v>45938.547687407401</v>
      </c>
      <c r="B184">
        <v>192</v>
      </c>
      <c r="C184">
        <v>3955.53</v>
      </c>
      <c r="D184">
        <v>4.5590000000000002</v>
      </c>
      <c r="E184">
        <v>4.548</v>
      </c>
      <c r="F184">
        <v>20.96</v>
      </c>
    </row>
    <row r="185" spans="1:6" x14ac:dyDescent="0.2">
      <c r="A185" s="4">
        <v>45938.548307974503</v>
      </c>
      <c r="B185">
        <v>809</v>
      </c>
      <c r="C185">
        <v>4009.15</v>
      </c>
      <c r="D185">
        <v>4.4580000000000002</v>
      </c>
      <c r="E185">
        <v>4.4580000000000002</v>
      </c>
      <c r="F185">
        <v>20.96</v>
      </c>
    </row>
    <row r="186" spans="1:6" x14ac:dyDescent="0.2">
      <c r="A186" s="4">
        <v>45938.548971249998</v>
      </c>
      <c r="B186">
        <v>116</v>
      </c>
      <c r="C186">
        <v>4066.46</v>
      </c>
      <c r="D186">
        <v>4.3579999999999997</v>
      </c>
      <c r="E186">
        <v>-99999</v>
      </c>
      <c r="F186">
        <v>20.96</v>
      </c>
    </row>
    <row r="187" spans="1:6" x14ac:dyDescent="0.2">
      <c r="A187" s="4"/>
    </row>
    <row r="188" spans="1:6" x14ac:dyDescent="0.2">
      <c r="A188" s="4"/>
    </row>
    <row r="189" spans="1:6" x14ac:dyDescent="0.2">
      <c r="A189" s="4"/>
    </row>
    <row r="190" spans="1:6" x14ac:dyDescent="0.2">
      <c r="A190" s="4"/>
    </row>
    <row r="191" spans="1:6" x14ac:dyDescent="0.2">
      <c r="A191" s="4"/>
    </row>
    <row r="192" spans="1:6" x14ac:dyDescent="0.2">
      <c r="A192" s="4"/>
    </row>
    <row r="193" spans="1:1" x14ac:dyDescent="0.2">
      <c r="A193" s="4"/>
    </row>
    <row r="194" spans="1:1" x14ac:dyDescent="0.2">
      <c r="A194" s="4"/>
    </row>
    <row r="195" spans="1:1" x14ac:dyDescent="0.2">
      <c r="A195" s="4"/>
    </row>
    <row r="196" spans="1:1" x14ac:dyDescent="0.2">
      <c r="A196" s="4"/>
    </row>
    <row r="197" spans="1:1" x14ac:dyDescent="0.2">
      <c r="A197" s="4"/>
    </row>
    <row r="198" spans="1:1" x14ac:dyDescent="0.2">
      <c r="A198" s="4"/>
    </row>
    <row r="199" spans="1:1" x14ac:dyDescent="0.2">
      <c r="A199" s="4"/>
    </row>
    <row r="200" spans="1:1" x14ac:dyDescent="0.2">
      <c r="A200" s="4"/>
    </row>
    <row r="201" spans="1:1" x14ac:dyDescent="0.2">
      <c r="A201" s="4"/>
    </row>
    <row r="202" spans="1:1" x14ac:dyDescent="0.2">
      <c r="A202" s="4"/>
    </row>
    <row r="203" spans="1:1" x14ac:dyDescent="0.2">
      <c r="A203" s="4"/>
    </row>
    <row r="204" spans="1:1" x14ac:dyDescent="0.2">
      <c r="A204" s="4"/>
    </row>
    <row r="205" spans="1:1" x14ac:dyDescent="0.2">
      <c r="A205" s="4"/>
    </row>
    <row r="206" spans="1:1" x14ac:dyDescent="0.2">
      <c r="A206" s="4"/>
    </row>
    <row r="207" spans="1:1" x14ac:dyDescent="0.2">
      <c r="A207" s="4"/>
    </row>
    <row r="208" spans="1:1" x14ac:dyDescent="0.2">
      <c r="A208" s="4"/>
    </row>
    <row r="209" spans="1:1" x14ac:dyDescent="0.2">
      <c r="A209" s="4"/>
    </row>
    <row r="210" spans="1:1" x14ac:dyDescent="0.2">
      <c r="A210" s="4"/>
    </row>
    <row r="211" spans="1:1" x14ac:dyDescent="0.2">
      <c r="A211" s="4"/>
    </row>
    <row r="212" spans="1:1" x14ac:dyDescent="0.2">
      <c r="A212" s="4"/>
    </row>
    <row r="213" spans="1:1" x14ac:dyDescent="0.2">
      <c r="A213" s="4"/>
    </row>
    <row r="214" spans="1:1" x14ac:dyDescent="0.2">
      <c r="A214" s="4"/>
    </row>
    <row r="215" spans="1:1" x14ac:dyDescent="0.2">
      <c r="A215" s="4"/>
    </row>
    <row r="216" spans="1:1" x14ac:dyDescent="0.2">
      <c r="A216" s="4"/>
    </row>
    <row r="217" spans="1:1" x14ac:dyDescent="0.2">
      <c r="A217" s="4"/>
    </row>
    <row r="218" spans="1:1" x14ac:dyDescent="0.2">
      <c r="A218" s="4"/>
    </row>
    <row r="219" spans="1:1" x14ac:dyDescent="0.2">
      <c r="A219" s="4"/>
    </row>
    <row r="220" spans="1:1" x14ac:dyDescent="0.2">
      <c r="A220" s="4"/>
    </row>
    <row r="221" spans="1:1" x14ac:dyDescent="0.2">
      <c r="A221" s="4"/>
    </row>
    <row r="222" spans="1:1" x14ac:dyDescent="0.2">
      <c r="A222" s="4"/>
    </row>
    <row r="223" spans="1:1" x14ac:dyDescent="0.2">
      <c r="A223" s="4"/>
    </row>
    <row r="224" spans="1:1" x14ac:dyDescent="0.2">
      <c r="A224" s="4"/>
    </row>
    <row r="225" spans="1:1" x14ac:dyDescent="0.2">
      <c r="A225" s="4"/>
    </row>
    <row r="226" spans="1:1" x14ac:dyDescent="0.2">
      <c r="A226" s="4"/>
    </row>
    <row r="227" spans="1:1" x14ac:dyDescent="0.2">
      <c r="A227" s="4"/>
    </row>
    <row r="228" spans="1:1" x14ac:dyDescent="0.2">
      <c r="A228" s="4"/>
    </row>
    <row r="229" spans="1:1" x14ac:dyDescent="0.2">
      <c r="A229" s="4"/>
    </row>
    <row r="230" spans="1:1" x14ac:dyDescent="0.2">
      <c r="A230" s="4"/>
    </row>
    <row r="231" spans="1:1" x14ac:dyDescent="0.2">
      <c r="A231" s="4"/>
    </row>
    <row r="232" spans="1:1" x14ac:dyDescent="0.2">
      <c r="A232" s="4"/>
    </row>
    <row r="233" spans="1:1" x14ac:dyDescent="0.2">
      <c r="A233" s="4"/>
    </row>
    <row r="234" spans="1:1" x14ac:dyDescent="0.2">
      <c r="A234" s="4"/>
    </row>
    <row r="235" spans="1:1" x14ac:dyDescent="0.2">
      <c r="A235" s="4"/>
    </row>
    <row r="236" spans="1:1" x14ac:dyDescent="0.2">
      <c r="A236" s="4"/>
    </row>
    <row r="237" spans="1:1" x14ac:dyDescent="0.2">
      <c r="A237" s="4"/>
    </row>
    <row r="238" spans="1:1" x14ac:dyDescent="0.2">
      <c r="A238" s="4"/>
    </row>
    <row r="239" spans="1:1" x14ac:dyDescent="0.2">
      <c r="A239" s="4"/>
    </row>
    <row r="240" spans="1:1" x14ac:dyDescent="0.2">
      <c r="A240" s="4"/>
    </row>
    <row r="241" spans="1:1" x14ac:dyDescent="0.2">
      <c r="A241" s="4"/>
    </row>
    <row r="242" spans="1:1" x14ac:dyDescent="0.2">
      <c r="A242" s="4"/>
    </row>
    <row r="243" spans="1:1" x14ac:dyDescent="0.2">
      <c r="A243" s="4"/>
    </row>
    <row r="244" spans="1:1" x14ac:dyDescent="0.2">
      <c r="A244" s="4"/>
    </row>
    <row r="245" spans="1:1" x14ac:dyDescent="0.2">
      <c r="A245" s="4"/>
    </row>
    <row r="246" spans="1:1" x14ac:dyDescent="0.2">
      <c r="A246" s="4"/>
    </row>
    <row r="247" spans="1:1" x14ac:dyDescent="0.2">
      <c r="A247" s="4"/>
    </row>
    <row r="248" spans="1:1" x14ac:dyDescent="0.2">
      <c r="A248" s="4"/>
    </row>
    <row r="249" spans="1:1" x14ac:dyDescent="0.2">
      <c r="A249" s="4"/>
    </row>
    <row r="250" spans="1:1" x14ac:dyDescent="0.2">
      <c r="A250" s="4"/>
    </row>
    <row r="251" spans="1:1" x14ac:dyDescent="0.2">
      <c r="A251" s="4"/>
    </row>
    <row r="252" spans="1:1" x14ac:dyDescent="0.2">
      <c r="A252" s="4"/>
    </row>
    <row r="253" spans="1:1" x14ac:dyDescent="0.2">
      <c r="A253" s="4"/>
    </row>
    <row r="254" spans="1:1" x14ac:dyDescent="0.2">
      <c r="A254" s="4"/>
    </row>
    <row r="255" spans="1:1" x14ac:dyDescent="0.2">
      <c r="A255" s="4"/>
    </row>
    <row r="256" spans="1:1" x14ac:dyDescent="0.2">
      <c r="A256" s="4"/>
    </row>
    <row r="257" spans="1:1" x14ac:dyDescent="0.2">
      <c r="A257" s="4"/>
    </row>
    <row r="258" spans="1:1" x14ac:dyDescent="0.2">
      <c r="A258" s="4"/>
    </row>
    <row r="259" spans="1:1" x14ac:dyDescent="0.2">
      <c r="A259" s="4"/>
    </row>
    <row r="260" spans="1:1" x14ac:dyDescent="0.2">
      <c r="A260" s="4"/>
    </row>
    <row r="261" spans="1:1" x14ac:dyDescent="0.2">
      <c r="A261" s="4"/>
    </row>
    <row r="262" spans="1:1" x14ac:dyDescent="0.2">
      <c r="A262" s="4"/>
    </row>
    <row r="263" spans="1:1" x14ac:dyDescent="0.2">
      <c r="A263" s="4"/>
    </row>
    <row r="264" spans="1:1" x14ac:dyDescent="0.2">
      <c r="A264" s="4"/>
    </row>
    <row r="265" spans="1:1" x14ac:dyDescent="0.2">
      <c r="A265" s="4"/>
    </row>
    <row r="266" spans="1:1" x14ac:dyDescent="0.2">
      <c r="A266" s="4"/>
    </row>
    <row r="267" spans="1:1" x14ac:dyDescent="0.2">
      <c r="A267" s="4"/>
    </row>
    <row r="268" spans="1:1" x14ac:dyDescent="0.2">
      <c r="A268" s="4"/>
    </row>
    <row r="269" spans="1:1" x14ac:dyDescent="0.2">
      <c r="A269" s="4"/>
    </row>
    <row r="270" spans="1:1" x14ac:dyDescent="0.2">
      <c r="A270" s="4"/>
    </row>
    <row r="271" spans="1:1" x14ac:dyDescent="0.2">
      <c r="A271" s="4"/>
    </row>
    <row r="272" spans="1:1" x14ac:dyDescent="0.2">
      <c r="A272" s="4"/>
    </row>
    <row r="273" spans="1:1" x14ac:dyDescent="0.2">
      <c r="A273" s="4"/>
    </row>
    <row r="274" spans="1:1" x14ac:dyDescent="0.2">
      <c r="A274" s="4"/>
    </row>
    <row r="275" spans="1:1" x14ac:dyDescent="0.2">
      <c r="A275" s="4"/>
    </row>
    <row r="276" spans="1:1" x14ac:dyDescent="0.2">
      <c r="A276" s="4"/>
    </row>
    <row r="277" spans="1:1" x14ac:dyDescent="0.2">
      <c r="A277" s="4"/>
    </row>
    <row r="278" spans="1:1" x14ac:dyDescent="0.2">
      <c r="A278" s="4"/>
    </row>
    <row r="279" spans="1:1" x14ac:dyDescent="0.2">
      <c r="A279" s="4"/>
    </row>
    <row r="280" spans="1:1" x14ac:dyDescent="0.2">
      <c r="A280" s="4"/>
    </row>
    <row r="281" spans="1:1" x14ac:dyDescent="0.2">
      <c r="A281" s="4"/>
    </row>
    <row r="282" spans="1:1" x14ac:dyDescent="0.2">
      <c r="A282" s="4"/>
    </row>
    <row r="283" spans="1:1" x14ac:dyDescent="0.2">
      <c r="A283" s="4"/>
    </row>
    <row r="284" spans="1:1" x14ac:dyDescent="0.2">
      <c r="A284" s="4"/>
    </row>
    <row r="285" spans="1:1" x14ac:dyDescent="0.2">
      <c r="A285" s="4"/>
    </row>
    <row r="286" spans="1:1" x14ac:dyDescent="0.2">
      <c r="A286" s="4"/>
    </row>
    <row r="287" spans="1:1" x14ac:dyDescent="0.2">
      <c r="A287" s="4"/>
    </row>
    <row r="288" spans="1:1" x14ac:dyDescent="0.2">
      <c r="A288" s="4"/>
    </row>
    <row r="289" spans="1:1" x14ac:dyDescent="0.2">
      <c r="A289" s="4"/>
    </row>
    <row r="290" spans="1:1" x14ac:dyDescent="0.2">
      <c r="A290" s="4"/>
    </row>
    <row r="291" spans="1:1" x14ac:dyDescent="0.2">
      <c r="A291" s="4"/>
    </row>
    <row r="292" spans="1:1" x14ac:dyDescent="0.2">
      <c r="A292" s="4"/>
    </row>
    <row r="293" spans="1:1" x14ac:dyDescent="0.2">
      <c r="A293" s="4"/>
    </row>
    <row r="294" spans="1:1" x14ac:dyDescent="0.2">
      <c r="A294" s="4"/>
    </row>
    <row r="295" spans="1:1" x14ac:dyDescent="0.2">
      <c r="A295" s="4"/>
    </row>
    <row r="296" spans="1:1" x14ac:dyDescent="0.2">
      <c r="A296" s="4"/>
    </row>
    <row r="297" spans="1:1" x14ac:dyDescent="0.2">
      <c r="A297" s="4"/>
    </row>
    <row r="298" spans="1:1" x14ac:dyDescent="0.2">
      <c r="A298" s="4"/>
    </row>
    <row r="299" spans="1:1" x14ac:dyDescent="0.2">
      <c r="A299" s="4"/>
    </row>
    <row r="300" spans="1:1" x14ac:dyDescent="0.2">
      <c r="A300" s="4"/>
    </row>
    <row r="301" spans="1:1" x14ac:dyDescent="0.2">
      <c r="A301" s="4"/>
    </row>
    <row r="302" spans="1:1" x14ac:dyDescent="0.2">
      <c r="A302" s="4"/>
    </row>
    <row r="303" spans="1:1" x14ac:dyDescent="0.2">
      <c r="A303" s="4"/>
    </row>
    <row r="304" spans="1:1" x14ac:dyDescent="0.2">
      <c r="A304" s="4"/>
    </row>
    <row r="305" spans="1:1" x14ac:dyDescent="0.2">
      <c r="A305" s="4"/>
    </row>
    <row r="306" spans="1:1" x14ac:dyDescent="0.2">
      <c r="A306" s="4"/>
    </row>
    <row r="307" spans="1:1" x14ac:dyDescent="0.2">
      <c r="A307" s="4"/>
    </row>
    <row r="308" spans="1:1" x14ac:dyDescent="0.2">
      <c r="A308" s="4"/>
    </row>
    <row r="309" spans="1:1" x14ac:dyDescent="0.2">
      <c r="A309" s="4"/>
    </row>
    <row r="310" spans="1:1" x14ac:dyDescent="0.2">
      <c r="A310" s="4"/>
    </row>
    <row r="311" spans="1:1" x14ac:dyDescent="0.2">
      <c r="A311" s="4"/>
    </row>
    <row r="312" spans="1:1" x14ac:dyDescent="0.2">
      <c r="A312" s="4"/>
    </row>
    <row r="313" spans="1:1" x14ac:dyDescent="0.2">
      <c r="A313" s="4"/>
    </row>
    <row r="314" spans="1:1" x14ac:dyDescent="0.2">
      <c r="A314" s="4"/>
    </row>
    <row r="315" spans="1:1" x14ac:dyDescent="0.2">
      <c r="A315" s="4"/>
    </row>
    <row r="316" spans="1:1" x14ac:dyDescent="0.2">
      <c r="A316" s="4"/>
    </row>
    <row r="317" spans="1:1" x14ac:dyDescent="0.2">
      <c r="A317" s="4"/>
    </row>
    <row r="318" spans="1:1" x14ac:dyDescent="0.2">
      <c r="A318" s="4"/>
    </row>
    <row r="319" spans="1:1" x14ac:dyDescent="0.2">
      <c r="A319" s="4"/>
    </row>
    <row r="320" spans="1:1" x14ac:dyDescent="0.2">
      <c r="A320" s="4"/>
    </row>
    <row r="321" spans="1:1" x14ac:dyDescent="0.2">
      <c r="A321" s="4"/>
    </row>
    <row r="322" spans="1:1" x14ac:dyDescent="0.2">
      <c r="A322" s="4"/>
    </row>
    <row r="323" spans="1:1" x14ac:dyDescent="0.2">
      <c r="A323" s="4"/>
    </row>
    <row r="324" spans="1:1" x14ac:dyDescent="0.2">
      <c r="A324" s="4"/>
    </row>
    <row r="325" spans="1:1" x14ac:dyDescent="0.2">
      <c r="A325" s="4"/>
    </row>
    <row r="326" spans="1:1" x14ac:dyDescent="0.2">
      <c r="A326" s="4"/>
    </row>
    <row r="327" spans="1:1" x14ac:dyDescent="0.2">
      <c r="A327" s="4"/>
    </row>
    <row r="328" spans="1:1" x14ac:dyDescent="0.2">
      <c r="A328" s="4"/>
    </row>
    <row r="329" spans="1:1" x14ac:dyDescent="0.2">
      <c r="A329" s="4"/>
    </row>
    <row r="330" spans="1:1" x14ac:dyDescent="0.2">
      <c r="A330" s="4"/>
    </row>
    <row r="331" spans="1:1" x14ac:dyDescent="0.2">
      <c r="A331" s="4"/>
    </row>
    <row r="332" spans="1:1" x14ac:dyDescent="0.2">
      <c r="A332" s="4"/>
    </row>
    <row r="333" spans="1:1" x14ac:dyDescent="0.2">
      <c r="A333" s="4"/>
    </row>
    <row r="334" spans="1:1" x14ac:dyDescent="0.2">
      <c r="A334" s="4"/>
    </row>
    <row r="335" spans="1:1" x14ac:dyDescent="0.2">
      <c r="A335" s="4"/>
    </row>
    <row r="336" spans="1:1" x14ac:dyDescent="0.2">
      <c r="A336" s="4"/>
    </row>
    <row r="337" spans="1:1" x14ac:dyDescent="0.2">
      <c r="A337" s="4"/>
    </row>
    <row r="338" spans="1:1" x14ac:dyDescent="0.2">
      <c r="A338" s="4"/>
    </row>
    <row r="339" spans="1:1" x14ac:dyDescent="0.2">
      <c r="A339" s="4"/>
    </row>
    <row r="340" spans="1:1" x14ac:dyDescent="0.2">
      <c r="A340" s="4"/>
    </row>
    <row r="341" spans="1:1" x14ac:dyDescent="0.2">
      <c r="A341" s="4"/>
    </row>
    <row r="342" spans="1:1" x14ac:dyDescent="0.2">
      <c r="A342" s="4"/>
    </row>
    <row r="343" spans="1:1" x14ac:dyDescent="0.2">
      <c r="A343" s="4"/>
    </row>
    <row r="344" spans="1:1" x14ac:dyDescent="0.2">
      <c r="A344" s="4"/>
    </row>
    <row r="345" spans="1:1" x14ac:dyDescent="0.2">
      <c r="A345" s="4"/>
    </row>
    <row r="346" spans="1:1" x14ac:dyDescent="0.2">
      <c r="A346" s="4"/>
    </row>
    <row r="347" spans="1:1" x14ac:dyDescent="0.2">
      <c r="A347" s="4"/>
    </row>
    <row r="348" spans="1:1" x14ac:dyDescent="0.2">
      <c r="A348" s="4"/>
    </row>
    <row r="349" spans="1:1" x14ac:dyDescent="0.2">
      <c r="A349" s="4"/>
    </row>
    <row r="350" spans="1:1" x14ac:dyDescent="0.2">
      <c r="A350" s="4"/>
    </row>
    <row r="351" spans="1:1" x14ac:dyDescent="0.2">
      <c r="A351" s="4"/>
    </row>
    <row r="352" spans="1:1" x14ac:dyDescent="0.2">
      <c r="A352" s="4"/>
    </row>
    <row r="353" spans="1:1" x14ac:dyDescent="0.2">
      <c r="A353" s="4"/>
    </row>
    <row r="354" spans="1:1" x14ac:dyDescent="0.2">
      <c r="A354" s="4"/>
    </row>
    <row r="355" spans="1:1" x14ac:dyDescent="0.2">
      <c r="A355" s="4"/>
    </row>
    <row r="356" spans="1:1" x14ac:dyDescent="0.2">
      <c r="A356" s="4"/>
    </row>
    <row r="357" spans="1:1" x14ac:dyDescent="0.2">
      <c r="A357" s="4"/>
    </row>
    <row r="358" spans="1:1" x14ac:dyDescent="0.2">
      <c r="A358" s="4"/>
    </row>
    <row r="359" spans="1:1" x14ac:dyDescent="0.2">
      <c r="A359" s="4"/>
    </row>
    <row r="360" spans="1:1" x14ac:dyDescent="0.2">
      <c r="A360" s="4"/>
    </row>
    <row r="361" spans="1:1" x14ac:dyDescent="0.2">
      <c r="A361" s="4"/>
    </row>
    <row r="362" spans="1:1" x14ac:dyDescent="0.2">
      <c r="A362" s="4"/>
    </row>
    <row r="363" spans="1:1" x14ac:dyDescent="0.2">
      <c r="A363" s="4"/>
    </row>
    <row r="364" spans="1:1" x14ac:dyDescent="0.2">
      <c r="A364" s="4"/>
    </row>
    <row r="365" spans="1:1" x14ac:dyDescent="0.2">
      <c r="A365" s="4"/>
    </row>
    <row r="366" spans="1:1" x14ac:dyDescent="0.2">
      <c r="A366" s="4"/>
    </row>
    <row r="367" spans="1:1" x14ac:dyDescent="0.2">
      <c r="A367" s="4"/>
    </row>
    <row r="368" spans="1:1" x14ac:dyDescent="0.2">
      <c r="A368" s="4"/>
    </row>
    <row r="369" spans="1:1" x14ac:dyDescent="0.2">
      <c r="A369" s="4"/>
    </row>
    <row r="370" spans="1:1" x14ac:dyDescent="0.2">
      <c r="A370" s="4"/>
    </row>
    <row r="371" spans="1:1" x14ac:dyDescent="0.2">
      <c r="A371" s="4"/>
    </row>
    <row r="372" spans="1:1" x14ac:dyDescent="0.2">
      <c r="A372" s="4"/>
    </row>
    <row r="373" spans="1:1" x14ac:dyDescent="0.2">
      <c r="A373" s="4"/>
    </row>
    <row r="374" spans="1:1" x14ac:dyDescent="0.2">
      <c r="A374" s="4"/>
    </row>
    <row r="375" spans="1:1" x14ac:dyDescent="0.2">
      <c r="A375" s="4"/>
    </row>
    <row r="376" spans="1:1" x14ac:dyDescent="0.2">
      <c r="A376" s="4"/>
    </row>
    <row r="377" spans="1:1" x14ac:dyDescent="0.2">
      <c r="A377" s="4"/>
    </row>
    <row r="378" spans="1:1" x14ac:dyDescent="0.2">
      <c r="A378" s="4"/>
    </row>
    <row r="379" spans="1:1" x14ac:dyDescent="0.2">
      <c r="A379" s="4"/>
    </row>
    <row r="380" spans="1:1" x14ac:dyDescent="0.2">
      <c r="A380" s="4"/>
    </row>
    <row r="381" spans="1:1" x14ac:dyDescent="0.2">
      <c r="A381" s="4"/>
    </row>
    <row r="382" spans="1:1" x14ac:dyDescent="0.2">
      <c r="A382" s="4"/>
    </row>
    <row r="383" spans="1:1" x14ac:dyDescent="0.2">
      <c r="A383" s="4"/>
    </row>
    <row r="384" spans="1:1" x14ac:dyDescent="0.2">
      <c r="A384" s="4"/>
    </row>
    <row r="385" spans="1:1" x14ac:dyDescent="0.2">
      <c r="A385" s="4"/>
    </row>
    <row r="386" spans="1:1" x14ac:dyDescent="0.2">
      <c r="A386" s="4"/>
    </row>
    <row r="387" spans="1:1" x14ac:dyDescent="0.2">
      <c r="A387" s="4"/>
    </row>
    <row r="388" spans="1:1" x14ac:dyDescent="0.2">
      <c r="A388" s="4"/>
    </row>
    <row r="389" spans="1:1" x14ac:dyDescent="0.2">
      <c r="A389" s="4"/>
    </row>
    <row r="390" spans="1:1" x14ac:dyDescent="0.2">
      <c r="A390" s="4"/>
    </row>
    <row r="391" spans="1:1" x14ac:dyDescent="0.2">
      <c r="A391" s="4"/>
    </row>
    <row r="392" spans="1:1" x14ac:dyDescent="0.2">
      <c r="A392" s="4"/>
    </row>
    <row r="393" spans="1:1" x14ac:dyDescent="0.2">
      <c r="A393" s="4"/>
    </row>
    <row r="394" spans="1:1" x14ac:dyDescent="0.2">
      <c r="A394" s="4"/>
    </row>
    <row r="395" spans="1:1" x14ac:dyDescent="0.2">
      <c r="A395" s="4"/>
    </row>
    <row r="396" spans="1:1" x14ac:dyDescent="0.2">
      <c r="A396" s="4"/>
    </row>
    <row r="397" spans="1:1" x14ac:dyDescent="0.2">
      <c r="A397" s="4"/>
    </row>
    <row r="398" spans="1:1" x14ac:dyDescent="0.2">
      <c r="A398" s="4"/>
    </row>
    <row r="399" spans="1:1" x14ac:dyDescent="0.2">
      <c r="A399" s="4"/>
    </row>
    <row r="400" spans="1:1" x14ac:dyDescent="0.2">
      <c r="A400" s="4"/>
    </row>
    <row r="401" spans="1:1" x14ac:dyDescent="0.2">
      <c r="A401" s="4"/>
    </row>
    <row r="402" spans="1:1" x14ac:dyDescent="0.2">
      <c r="A402" s="4"/>
    </row>
    <row r="403" spans="1:1" x14ac:dyDescent="0.2">
      <c r="A403" s="4"/>
    </row>
    <row r="404" spans="1:1" x14ac:dyDescent="0.2">
      <c r="A404" s="4"/>
    </row>
    <row r="405" spans="1:1" x14ac:dyDescent="0.2">
      <c r="A405" s="4"/>
    </row>
    <row r="406" spans="1:1" x14ac:dyDescent="0.2">
      <c r="A406" s="4"/>
    </row>
    <row r="407" spans="1:1" x14ac:dyDescent="0.2">
      <c r="A407" s="4"/>
    </row>
    <row r="408" spans="1:1" x14ac:dyDescent="0.2">
      <c r="A408" s="4"/>
    </row>
    <row r="409" spans="1:1" x14ac:dyDescent="0.2">
      <c r="A409" s="4"/>
    </row>
    <row r="410" spans="1:1" x14ac:dyDescent="0.2">
      <c r="A410" s="4"/>
    </row>
    <row r="411" spans="1:1" x14ac:dyDescent="0.2">
      <c r="A411" s="4"/>
    </row>
    <row r="412" spans="1:1" x14ac:dyDescent="0.2">
      <c r="A412" s="4"/>
    </row>
    <row r="413" spans="1:1" x14ac:dyDescent="0.2">
      <c r="A413" s="4"/>
    </row>
    <row r="414" spans="1:1" x14ac:dyDescent="0.2">
      <c r="A414" s="4"/>
    </row>
    <row r="415" spans="1:1" x14ac:dyDescent="0.2">
      <c r="A415" s="4"/>
    </row>
    <row r="416" spans="1:1" x14ac:dyDescent="0.2">
      <c r="A416" s="4"/>
    </row>
    <row r="417" spans="1:1" x14ac:dyDescent="0.2">
      <c r="A417" s="4"/>
    </row>
    <row r="418" spans="1:1" x14ac:dyDescent="0.2">
      <c r="A418" s="4"/>
    </row>
    <row r="419" spans="1:1" x14ac:dyDescent="0.2">
      <c r="A419" s="4"/>
    </row>
    <row r="420" spans="1:1" x14ac:dyDescent="0.2">
      <c r="A420" s="4"/>
    </row>
    <row r="421" spans="1:1" x14ac:dyDescent="0.2">
      <c r="A421" s="4"/>
    </row>
    <row r="422" spans="1:1" x14ac:dyDescent="0.2">
      <c r="A422" s="4"/>
    </row>
    <row r="423" spans="1:1" x14ac:dyDescent="0.2">
      <c r="A423" s="4"/>
    </row>
    <row r="424" spans="1:1" x14ac:dyDescent="0.2">
      <c r="A424" s="4"/>
    </row>
    <row r="425" spans="1:1" x14ac:dyDescent="0.2">
      <c r="A425" s="4"/>
    </row>
    <row r="426" spans="1:1" x14ac:dyDescent="0.2">
      <c r="A426" s="4"/>
    </row>
    <row r="427" spans="1:1" x14ac:dyDescent="0.2">
      <c r="A427" s="4"/>
    </row>
    <row r="428" spans="1:1" x14ac:dyDescent="0.2">
      <c r="A428" s="4"/>
    </row>
    <row r="429" spans="1:1" x14ac:dyDescent="0.2">
      <c r="A429" s="4"/>
    </row>
    <row r="430" spans="1:1" x14ac:dyDescent="0.2">
      <c r="A430" s="4"/>
    </row>
    <row r="431" spans="1:1" x14ac:dyDescent="0.2">
      <c r="A431" s="4"/>
    </row>
    <row r="432" spans="1:1" x14ac:dyDescent="0.2">
      <c r="A432" s="4"/>
    </row>
    <row r="433" spans="1:1" x14ac:dyDescent="0.2">
      <c r="A433" s="4"/>
    </row>
    <row r="434" spans="1:1" x14ac:dyDescent="0.2">
      <c r="A434" s="4"/>
    </row>
    <row r="435" spans="1:1" x14ac:dyDescent="0.2">
      <c r="A435" s="4"/>
    </row>
    <row r="436" spans="1:1" x14ac:dyDescent="0.2">
      <c r="A436" s="4"/>
    </row>
    <row r="437" spans="1:1" x14ac:dyDescent="0.2">
      <c r="A437" s="4"/>
    </row>
    <row r="438" spans="1:1" x14ac:dyDescent="0.2">
      <c r="A438" s="4"/>
    </row>
    <row r="439" spans="1:1" x14ac:dyDescent="0.2">
      <c r="A439" s="4"/>
    </row>
    <row r="440" spans="1:1" x14ac:dyDescent="0.2">
      <c r="A440" s="4"/>
    </row>
    <row r="441" spans="1:1" x14ac:dyDescent="0.2">
      <c r="A441" s="4"/>
    </row>
    <row r="442" spans="1:1" x14ac:dyDescent="0.2">
      <c r="A442" s="4"/>
    </row>
    <row r="443" spans="1:1" x14ac:dyDescent="0.2">
      <c r="A443" s="4"/>
    </row>
    <row r="444" spans="1:1" x14ac:dyDescent="0.2">
      <c r="A444" s="4"/>
    </row>
    <row r="445" spans="1:1" x14ac:dyDescent="0.2">
      <c r="A445" s="4"/>
    </row>
    <row r="446" spans="1:1" x14ac:dyDescent="0.2">
      <c r="A446" s="4"/>
    </row>
    <row r="447" spans="1:1" x14ac:dyDescent="0.2">
      <c r="A447" s="4"/>
    </row>
    <row r="448" spans="1:1" x14ac:dyDescent="0.2">
      <c r="A448" s="4"/>
    </row>
    <row r="449" spans="1:1" x14ac:dyDescent="0.2">
      <c r="A449" s="4"/>
    </row>
    <row r="450" spans="1:1" x14ac:dyDescent="0.2">
      <c r="A450" s="4"/>
    </row>
    <row r="451" spans="1:1" x14ac:dyDescent="0.2">
      <c r="A451" s="4"/>
    </row>
    <row r="452" spans="1:1" x14ac:dyDescent="0.2">
      <c r="A452" s="4"/>
    </row>
    <row r="453" spans="1:1" x14ac:dyDescent="0.2">
      <c r="A453" s="4"/>
    </row>
    <row r="454" spans="1:1" x14ac:dyDescent="0.2">
      <c r="A454" s="4"/>
    </row>
    <row r="455" spans="1:1" x14ac:dyDescent="0.2">
      <c r="A455" s="4"/>
    </row>
    <row r="456" spans="1:1" x14ac:dyDescent="0.2">
      <c r="A456" s="4"/>
    </row>
    <row r="457" spans="1:1" x14ac:dyDescent="0.2">
      <c r="A457" s="4"/>
    </row>
    <row r="458" spans="1:1" x14ac:dyDescent="0.2">
      <c r="A458" s="4"/>
    </row>
    <row r="459" spans="1:1" x14ac:dyDescent="0.2">
      <c r="A459" s="4"/>
    </row>
    <row r="460" spans="1:1" x14ac:dyDescent="0.2">
      <c r="A460" s="4"/>
    </row>
    <row r="461" spans="1:1" x14ac:dyDescent="0.2">
      <c r="A461" s="4"/>
    </row>
    <row r="462" spans="1:1" x14ac:dyDescent="0.2">
      <c r="A462" s="4"/>
    </row>
    <row r="463" spans="1:1" x14ac:dyDescent="0.2">
      <c r="A463" s="4"/>
    </row>
    <row r="464" spans="1:1" x14ac:dyDescent="0.2">
      <c r="A464" s="4"/>
    </row>
    <row r="465" spans="1:1" x14ac:dyDescent="0.2">
      <c r="A465" s="4"/>
    </row>
    <row r="466" spans="1:1" x14ac:dyDescent="0.2">
      <c r="A466" s="4"/>
    </row>
    <row r="467" spans="1:1" x14ac:dyDescent="0.2">
      <c r="A467" s="4"/>
    </row>
    <row r="468" spans="1:1" x14ac:dyDescent="0.2">
      <c r="A468" s="4"/>
    </row>
    <row r="469" spans="1:1" x14ac:dyDescent="0.2">
      <c r="A469" s="4"/>
    </row>
    <row r="470" spans="1:1" x14ac:dyDescent="0.2">
      <c r="A470" s="4"/>
    </row>
    <row r="471" spans="1:1" x14ac:dyDescent="0.2">
      <c r="A471" s="4"/>
    </row>
    <row r="472" spans="1:1" x14ac:dyDescent="0.2">
      <c r="A472" s="4"/>
    </row>
    <row r="473" spans="1:1" x14ac:dyDescent="0.2">
      <c r="A473" s="4"/>
    </row>
    <row r="474" spans="1:1" x14ac:dyDescent="0.2">
      <c r="A474" s="4"/>
    </row>
    <row r="475" spans="1:1" x14ac:dyDescent="0.2">
      <c r="A475" s="4"/>
    </row>
    <row r="476" spans="1:1" x14ac:dyDescent="0.2">
      <c r="A476" s="4"/>
    </row>
    <row r="477" spans="1:1" x14ac:dyDescent="0.2">
      <c r="A477" s="4"/>
    </row>
    <row r="478" spans="1:1" x14ac:dyDescent="0.2">
      <c r="A478" s="4"/>
    </row>
    <row r="479" spans="1:1" x14ac:dyDescent="0.2">
      <c r="A479" s="4"/>
    </row>
    <row r="480" spans="1:1" x14ac:dyDescent="0.2">
      <c r="A480" s="4"/>
    </row>
    <row r="481" spans="1:1" x14ac:dyDescent="0.2">
      <c r="A481" s="4"/>
    </row>
    <row r="482" spans="1:1" x14ac:dyDescent="0.2">
      <c r="A482" s="4"/>
    </row>
    <row r="483" spans="1:1" x14ac:dyDescent="0.2">
      <c r="A483" s="4"/>
    </row>
    <row r="484" spans="1:1" x14ac:dyDescent="0.2">
      <c r="A484" s="4"/>
    </row>
    <row r="485" spans="1:1" x14ac:dyDescent="0.2">
      <c r="A485" s="4"/>
    </row>
    <row r="486" spans="1:1" x14ac:dyDescent="0.2">
      <c r="A486" s="4"/>
    </row>
    <row r="487" spans="1:1" x14ac:dyDescent="0.2">
      <c r="A487" s="4"/>
    </row>
    <row r="488" spans="1:1" x14ac:dyDescent="0.2">
      <c r="A488" s="4"/>
    </row>
    <row r="489" spans="1:1" x14ac:dyDescent="0.2">
      <c r="A489" s="4"/>
    </row>
    <row r="490" spans="1:1" x14ac:dyDescent="0.2">
      <c r="A490" s="4"/>
    </row>
    <row r="491" spans="1:1" x14ac:dyDescent="0.2">
      <c r="A491" s="4"/>
    </row>
    <row r="492" spans="1:1" x14ac:dyDescent="0.2">
      <c r="A492" s="4"/>
    </row>
    <row r="493" spans="1:1" x14ac:dyDescent="0.2">
      <c r="A493" s="4"/>
    </row>
    <row r="494" spans="1:1" x14ac:dyDescent="0.2">
      <c r="A494" s="4"/>
    </row>
    <row r="495" spans="1:1" x14ac:dyDescent="0.2">
      <c r="A495" s="4"/>
    </row>
    <row r="496" spans="1:1" x14ac:dyDescent="0.2">
      <c r="A496" s="4"/>
    </row>
    <row r="497" spans="1:1" x14ac:dyDescent="0.2">
      <c r="A497" s="4"/>
    </row>
    <row r="498" spans="1:1" x14ac:dyDescent="0.2">
      <c r="A498" s="4"/>
    </row>
    <row r="499" spans="1:1" x14ac:dyDescent="0.2">
      <c r="A499" s="4"/>
    </row>
    <row r="500" spans="1:1" x14ac:dyDescent="0.2">
      <c r="A500" s="4"/>
    </row>
    <row r="501" spans="1:1" x14ac:dyDescent="0.2">
      <c r="A501" s="4"/>
    </row>
    <row r="502" spans="1:1" x14ac:dyDescent="0.2">
      <c r="A502" s="4"/>
    </row>
    <row r="503" spans="1:1" x14ac:dyDescent="0.2">
      <c r="A503" s="4"/>
    </row>
    <row r="504" spans="1:1" x14ac:dyDescent="0.2">
      <c r="A504" s="4"/>
    </row>
    <row r="505" spans="1:1" x14ac:dyDescent="0.2">
      <c r="A505" s="4"/>
    </row>
    <row r="506" spans="1:1" x14ac:dyDescent="0.2">
      <c r="A506" s="4"/>
    </row>
    <row r="507" spans="1:1" x14ac:dyDescent="0.2">
      <c r="A507" s="4"/>
    </row>
    <row r="508" spans="1:1" x14ac:dyDescent="0.2">
      <c r="A508" s="4"/>
    </row>
    <row r="509" spans="1:1" x14ac:dyDescent="0.2">
      <c r="A509" s="4"/>
    </row>
    <row r="510" spans="1:1" x14ac:dyDescent="0.2">
      <c r="A510" s="4"/>
    </row>
    <row r="511" spans="1:1" x14ac:dyDescent="0.2">
      <c r="A511" s="4"/>
    </row>
    <row r="512" spans="1:1" x14ac:dyDescent="0.2">
      <c r="A512" s="4"/>
    </row>
    <row r="513" spans="1:1" x14ac:dyDescent="0.2">
      <c r="A513" s="4"/>
    </row>
    <row r="514" spans="1:1" x14ac:dyDescent="0.2">
      <c r="A514" s="4"/>
    </row>
    <row r="515" spans="1:1" x14ac:dyDescent="0.2">
      <c r="A515" s="4"/>
    </row>
    <row r="516" spans="1:1" x14ac:dyDescent="0.2">
      <c r="A516" s="4"/>
    </row>
    <row r="517" spans="1:1" x14ac:dyDescent="0.2">
      <c r="A517" s="4"/>
    </row>
    <row r="518" spans="1:1" x14ac:dyDescent="0.2">
      <c r="A518" s="4"/>
    </row>
    <row r="519" spans="1:1" x14ac:dyDescent="0.2">
      <c r="A519" s="4"/>
    </row>
    <row r="520" spans="1:1" x14ac:dyDescent="0.2">
      <c r="A520" s="4"/>
    </row>
    <row r="521" spans="1:1" x14ac:dyDescent="0.2">
      <c r="A521" s="4"/>
    </row>
    <row r="522" spans="1:1" x14ac:dyDescent="0.2">
      <c r="A522" s="4"/>
    </row>
    <row r="523" spans="1:1" x14ac:dyDescent="0.2">
      <c r="A523" s="4"/>
    </row>
    <row r="524" spans="1:1" x14ac:dyDescent="0.2">
      <c r="A524" s="4"/>
    </row>
    <row r="525" spans="1:1" x14ac:dyDescent="0.2">
      <c r="A525" s="4"/>
    </row>
    <row r="526" spans="1:1" x14ac:dyDescent="0.2">
      <c r="A526" s="4"/>
    </row>
    <row r="527" spans="1:1" x14ac:dyDescent="0.2">
      <c r="A527" s="4"/>
    </row>
    <row r="528" spans="1:1" x14ac:dyDescent="0.2">
      <c r="A528" s="4"/>
    </row>
    <row r="529" spans="1:1" x14ac:dyDescent="0.2">
      <c r="A529" s="4"/>
    </row>
    <row r="530" spans="1:1" x14ac:dyDescent="0.2">
      <c r="A530" s="4"/>
    </row>
    <row r="531" spans="1:1" x14ac:dyDescent="0.2">
      <c r="A531" s="4"/>
    </row>
    <row r="532" spans="1:1" x14ac:dyDescent="0.2">
      <c r="A532" s="4"/>
    </row>
    <row r="533" spans="1:1" x14ac:dyDescent="0.2">
      <c r="A533" s="4"/>
    </row>
    <row r="534" spans="1:1" x14ac:dyDescent="0.2">
      <c r="A534" s="4"/>
    </row>
    <row r="535" spans="1:1" x14ac:dyDescent="0.2">
      <c r="A535" s="4"/>
    </row>
    <row r="536" spans="1:1" x14ac:dyDescent="0.2">
      <c r="A536" s="4"/>
    </row>
    <row r="537" spans="1:1" x14ac:dyDescent="0.2">
      <c r="A537" s="4"/>
    </row>
    <row r="538" spans="1:1" x14ac:dyDescent="0.2">
      <c r="A538" s="4"/>
    </row>
    <row r="539" spans="1:1" x14ac:dyDescent="0.2">
      <c r="A539" s="4"/>
    </row>
    <row r="540" spans="1:1" x14ac:dyDescent="0.2">
      <c r="A540" s="4"/>
    </row>
    <row r="541" spans="1:1" x14ac:dyDescent="0.2">
      <c r="A541" s="4"/>
    </row>
    <row r="542" spans="1:1" x14ac:dyDescent="0.2">
      <c r="A542" s="4"/>
    </row>
    <row r="543" spans="1:1" x14ac:dyDescent="0.2">
      <c r="A543" s="4"/>
    </row>
    <row r="544" spans="1:1" x14ac:dyDescent="0.2">
      <c r="A544" s="4"/>
    </row>
    <row r="545" spans="1:1" x14ac:dyDescent="0.2">
      <c r="A545" s="4"/>
    </row>
    <row r="546" spans="1:1" x14ac:dyDescent="0.2">
      <c r="A546" s="4"/>
    </row>
    <row r="547" spans="1:1" x14ac:dyDescent="0.2">
      <c r="A547" s="4"/>
    </row>
    <row r="548" spans="1:1" x14ac:dyDescent="0.2">
      <c r="A548" s="4"/>
    </row>
    <row r="549" spans="1:1" x14ac:dyDescent="0.2">
      <c r="A549" s="4"/>
    </row>
    <row r="550" spans="1:1" x14ac:dyDescent="0.2">
      <c r="A550" s="4"/>
    </row>
    <row r="551" spans="1:1" x14ac:dyDescent="0.2">
      <c r="A551" s="4"/>
    </row>
    <row r="552" spans="1:1" x14ac:dyDescent="0.2">
      <c r="A552" s="4"/>
    </row>
    <row r="553" spans="1:1" x14ac:dyDescent="0.2">
      <c r="A553" s="4"/>
    </row>
    <row r="554" spans="1:1" x14ac:dyDescent="0.2">
      <c r="A554" s="4"/>
    </row>
    <row r="555" spans="1:1" x14ac:dyDescent="0.2">
      <c r="A555" s="4"/>
    </row>
    <row r="556" spans="1:1" x14ac:dyDescent="0.2">
      <c r="A556" s="4"/>
    </row>
    <row r="557" spans="1:1" x14ac:dyDescent="0.2">
      <c r="A557" s="4"/>
    </row>
    <row r="558" spans="1:1" x14ac:dyDescent="0.2">
      <c r="A558" s="4"/>
    </row>
    <row r="559" spans="1:1" x14ac:dyDescent="0.2">
      <c r="A559" s="4"/>
    </row>
    <row r="560" spans="1:1" x14ac:dyDescent="0.2">
      <c r="A560" s="4"/>
    </row>
    <row r="561" spans="1:1" x14ac:dyDescent="0.2">
      <c r="A561" s="4"/>
    </row>
    <row r="562" spans="1:1" x14ac:dyDescent="0.2">
      <c r="A562" s="4"/>
    </row>
    <row r="563" spans="1:1" x14ac:dyDescent="0.2">
      <c r="A563" s="4"/>
    </row>
    <row r="564" spans="1:1" x14ac:dyDescent="0.2">
      <c r="A564" s="4"/>
    </row>
    <row r="565" spans="1:1" x14ac:dyDescent="0.2">
      <c r="A565" s="4"/>
    </row>
    <row r="566" spans="1:1" x14ac:dyDescent="0.2">
      <c r="A566" s="4"/>
    </row>
    <row r="567" spans="1:1" x14ac:dyDescent="0.2">
      <c r="A567" s="4"/>
    </row>
    <row r="568" spans="1:1" x14ac:dyDescent="0.2">
      <c r="A568" s="4"/>
    </row>
    <row r="569" spans="1:1" x14ac:dyDescent="0.2">
      <c r="A569" s="4"/>
    </row>
    <row r="570" spans="1:1" x14ac:dyDescent="0.2">
      <c r="A570" s="4"/>
    </row>
    <row r="571" spans="1:1" x14ac:dyDescent="0.2">
      <c r="A571" s="4"/>
    </row>
    <row r="572" spans="1:1" x14ac:dyDescent="0.2">
      <c r="A572" s="4"/>
    </row>
    <row r="573" spans="1:1" x14ac:dyDescent="0.2">
      <c r="A573" s="4"/>
    </row>
    <row r="574" spans="1:1" x14ac:dyDescent="0.2">
      <c r="A574" s="4"/>
    </row>
    <row r="575" spans="1:1" x14ac:dyDescent="0.2">
      <c r="A575" s="4"/>
    </row>
    <row r="576" spans="1:1" x14ac:dyDescent="0.2">
      <c r="A576" s="4"/>
    </row>
    <row r="577" spans="1:1" x14ac:dyDescent="0.2">
      <c r="A577" s="4"/>
    </row>
    <row r="578" spans="1:1" x14ac:dyDescent="0.2">
      <c r="A578" s="4"/>
    </row>
    <row r="579" spans="1:1" x14ac:dyDescent="0.2">
      <c r="A579" s="4"/>
    </row>
    <row r="580" spans="1:1" x14ac:dyDescent="0.2">
      <c r="A580" s="4"/>
    </row>
    <row r="581" spans="1:1" x14ac:dyDescent="0.2">
      <c r="A581" s="4"/>
    </row>
    <row r="582" spans="1:1" x14ac:dyDescent="0.2">
      <c r="A582" s="4"/>
    </row>
    <row r="583" spans="1:1" x14ac:dyDescent="0.2">
      <c r="A583" s="4"/>
    </row>
    <row r="584" spans="1:1" x14ac:dyDescent="0.2">
      <c r="A584" s="4"/>
    </row>
    <row r="585" spans="1:1" x14ac:dyDescent="0.2">
      <c r="A585" s="4"/>
    </row>
    <row r="586" spans="1:1" x14ac:dyDescent="0.2">
      <c r="A586" s="4"/>
    </row>
    <row r="587" spans="1:1" x14ac:dyDescent="0.2">
      <c r="A587" s="4"/>
    </row>
    <row r="588" spans="1:1" x14ac:dyDescent="0.2">
      <c r="A588" s="4"/>
    </row>
    <row r="589" spans="1:1" x14ac:dyDescent="0.2">
      <c r="A589" s="4"/>
    </row>
    <row r="590" spans="1:1" x14ac:dyDescent="0.2">
      <c r="A590" s="4"/>
    </row>
    <row r="591" spans="1:1" x14ac:dyDescent="0.2">
      <c r="A591" s="4"/>
    </row>
    <row r="592" spans="1:1" x14ac:dyDescent="0.2">
      <c r="A592" s="4"/>
    </row>
    <row r="593" spans="1:1" x14ac:dyDescent="0.2">
      <c r="A593" s="4"/>
    </row>
    <row r="594" spans="1:1" x14ac:dyDescent="0.2">
      <c r="A594" s="4"/>
    </row>
    <row r="595" spans="1:1" x14ac:dyDescent="0.2">
      <c r="A595" s="4"/>
    </row>
    <row r="596" spans="1:1" x14ac:dyDescent="0.2">
      <c r="A596" s="4"/>
    </row>
    <row r="597" spans="1:1" x14ac:dyDescent="0.2">
      <c r="A597" s="4"/>
    </row>
    <row r="598" spans="1:1" x14ac:dyDescent="0.2">
      <c r="A598" s="4"/>
    </row>
    <row r="599" spans="1:1" x14ac:dyDescent="0.2">
      <c r="A599" s="4"/>
    </row>
    <row r="600" spans="1:1" x14ac:dyDescent="0.2">
      <c r="A600" s="4"/>
    </row>
    <row r="601" spans="1:1" x14ac:dyDescent="0.2">
      <c r="A601" s="4"/>
    </row>
    <row r="602" spans="1:1" x14ac:dyDescent="0.2">
      <c r="A602" s="4"/>
    </row>
    <row r="603" spans="1:1" x14ac:dyDescent="0.2">
      <c r="A603" s="4"/>
    </row>
    <row r="604" spans="1:1" x14ac:dyDescent="0.2">
      <c r="A604" s="4"/>
    </row>
  </sheetData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dae68e0528d349d4a1e6d8318d6480c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3302d01da1b417a876ca2f9d363fa1a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63BEE5E-2108-4B62-BBBC-DEFFB3A6C104}">
  <ds:schemaRefs>
    <ds:schemaRef ds:uri="http://schemas.microsoft.com/office/2006/metadata/properties"/>
    <ds:schemaRef ds:uri="http://schemas.microsoft.com/office/infopath/2007/PartnerControls"/>
    <ds:schemaRef ds:uri="4b0c7577-6c1b-478c-923a-a650d6d013be"/>
    <ds:schemaRef ds:uri="0feec21d-23b4-4c00-874b-59d5ed798470"/>
  </ds:schemaRefs>
</ds:datastoreItem>
</file>

<file path=customXml/itemProps2.xml><?xml version="1.0" encoding="utf-8"?>
<ds:datastoreItem xmlns:ds="http://schemas.openxmlformats.org/officeDocument/2006/customXml" ds:itemID="{AB16D765-CF98-4A67-BB08-8EE03964B0A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7B817C8-76DA-4C62-9417-C355FB9314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eec21d-23b4-4c00-874b-59d5ed798470"/>
    <ds:schemaRef ds:uri="4b0c7577-6c1b-478c-923a-a650d6d013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KSAT_Measurement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 Weixler</dc:creator>
  <cp:lastModifiedBy>Patel, Kaizad F</cp:lastModifiedBy>
  <dcterms:created xsi:type="dcterms:W3CDTF">2017-12-12T14:35:01Z</dcterms:created>
  <dcterms:modified xsi:type="dcterms:W3CDTF">2026-08-18T02:46:33Z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</Properties>
</file>
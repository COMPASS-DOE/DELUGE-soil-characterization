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30" windowWidth="21600" windowHeight="13440" xr2:uid="{00000000-000D-0000-FFFF-FFFF00000000}"/>
  </bookViews>
  <sheets>
    <sheet name="KSAT_Measur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<sst xmlns="http://schemas.openxmlformats.org/spreadsheetml/2006/main" count="107" uniqueCount="107">
  <si>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</si>
  <si>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</si>
  <si>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</si>
  <si>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</si>
  <si>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</si>
  <si>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</si>
  <si>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</si>
  <si>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</si>
  <si>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</si>
  <si>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</si>
  <si>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</si>
  <si>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</si>
  <si>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KSAT_measurement_F1-BD-A1_001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</si>
  <si>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</si>
  <si>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</si>
  <si>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</si>
  <si>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</si>
  <si>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</si>
  <si>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</si>
  <si>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</si>
  <si>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</si>
  <si>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</si>
  <si>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</si>
  <si>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</si>
  <si>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</si>
  <si>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</si>
  <si>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</si>
  <si>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</si>
  <si>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</si>
  <si>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</si>
  <si>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</si>
  <si>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</si>
  <si>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</si>
  <si>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</si>
  <si>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</si>
  <si>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</si>
  <si>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</si>
  <si>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</si>
  <si>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</si>
  <si>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</si>
  <si>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</si>
  <si>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</si>
  <si>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</si>
  <si>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</si>
  <si>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</si>
  <si>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</si>
  <si>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</si>
  <si>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</si>
  <si>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</si>
  <si>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</si>
  <si>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</si>
  <si>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</si>
  <si>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</si>
  <si>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</si>
  <si>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</si>
  <si>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</si>
  <si>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</si>
  <si>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</si>
  <si>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</si>
  <si>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</si>
  <si>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</si>
  <si>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</si>
  <si>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</si>
  <si>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</si>
  <si>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</si>
  <si>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11/13/2025 1:53:45 PM</t>
  </si>
  <si>
    <t>Test duration</t>
  </si>
  <si>
    <t>00:49:06</t>
  </si>
  <si>
    <t>RESULT</t>
  </si>
  <si>
    <t>Use auto offset adjustment</t>
  </si>
  <si>
    <t>Max offset adjustment [cm]</t>
  </si>
  <si>
    <t>1</t>
  </si>
  <si>
    <t>Fitting Parameter a [cm]</t>
  </si>
  <si>
    <t>17.2</t>
  </si>
  <si>
    <t>coefficient a of the fitted exponential pressure head decrease function y = a * exp(-b*t)+c, where y is the pressure head in cm and t is time in s</t>
  </si>
  <si>
    <t>Fitting Parameter b [s-1]</t>
  </si>
  <si>
    <t>-2.39E-04</t>
  </si>
  <si>
    <t>coefficient b of the fitted exponential pressure head decrease function y = a * exp(-b*t)+c, where y is the pressure head in cm and t is time in s</t>
  </si>
  <si>
    <t>Fitting Parameter c [cm]</t>
  </si>
  <si>
    <t>-1</t>
  </si>
  <si>
    <t>coefficient c of the fitted exponential pressure head decrease function y = a * exp(-b*t)+c, where y is the pressure head in cm and t is time in s</t>
  </si>
  <si>
    <t>Fitting Parameter r2 [-]</t>
  </si>
  <si>
    <t>0.9995</t>
  </si>
  <si>
    <t>coefficient of determination of the exponential pressure head decrease function that is fitted to the observed data</t>
  </si>
  <si>
    <t>Ks Total [cm/d]</t>
  </si>
  <si>
    <t>29.606</t>
  </si>
  <si>
    <t>Saturated hydraulic conductivity [cm/d] of the entire system</t>
  </si>
  <si>
    <t>Ks Total [m/s]</t>
  </si>
  <si>
    <t>3.44E-06</t>
  </si>
  <si>
    <t>Saturated hydraulic conductivity [m/s] of the entire system</t>
  </si>
  <si>
    <t>Ks Soil [cm/d]</t>
  </si>
  <si>
    <t>24.362</t>
  </si>
  <si>
    <t>Saturated hydraulic conductivity [cm/d] of the soil sample itself</t>
  </si>
  <si>
    <t>Ks Soil [m/s]</t>
  </si>
  <si>
    <t>2.83E-06</t>
  </si>
  <si>
    <t>Saturated hydraulic conductivity [m/s] of the soil sample itself</t>
  </si>
  <si>
    <t>23.517</t>
  </si>
  <si>
    <t>Saturated hydraulic conductivity [cm/d] of the soil sample  normalized to 10 °C mean field temperature</t>
  </si>
  <si>
    <t>2.73E-06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</si>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</sst>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8">
    <xf numFmtId="0" fontId="0" fillId="0" borderId="0" xfId="0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11" fontId="0" fillId="0" borderId="0" xfId="0" applyNumberFormat="1" applyFill="1" applyAlignment="1" applyProtection="1"/>
    <xf numFmtId="21" fontId="0" fillId="0" borderId="0" xfId="0" applyNumberFormat="1" applyFill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defaultColWidth="11.42578125" defaultRowHeight="15"/>
  <cols>
    <col min="1" max="1" width="39.7109375" style="1" customWidth="1"/>
    <col min="2" max="2" width="27" style="1" bestFit="1" customWidth="1"/>
    <col min="3" max="3" width="31.85546875" style="1" bestFit="1" customWidth="1"/>
    <col min="4" max="4" width="18.28515625" style="1" bestFit="1" customWidth="1"/>
    <col min="5" max="5" width="11.140625" style="1" bestFit="1" customWidth="1"/>
    <col min="6" max="6" width="16.42578125" style="1" bestFit="1" customWidth="1"/>
  </cols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3" t="s">
        <v>8</v>
      </c>
    </row>
    <row r="6" spans="1:2">
      <c r="A6" s="1" t="s">
        <v>9</v>
      </c>
      <c r="B6" s="1" t="s">
        <v>10</v>
      </c>
    </row>
    <row r="8" spans="1:2">
      <c r="A8" s="1" t="s">
        <v>11</v>
      </c>
      <c r="B8" s="1" t="s">
        <v>12</v>
      </c>
    </row>
    <row r="9" spans="1:2">
      <c r="A9" s="1" t="s">
        <v>13</v>
      </c>
    </row>
    <row r="11" spans="1:2">
      <c r="A11" s="1" t="s">
        <v>14</v>
      </c>
    </row>
    <row r="12" spans="1:2">
      <c r="A12" s="1" t="s">
        <v>15</v>
      </c>
      <c r="B12" s="1" t="s">
        <v>16</v>
      </c>
    </row>
    <row r="13" spans="1:2">
      <c r="A13" s="1" t="s">
        <v>17</v>
      </c>
      <c r="B13" s="1" t="s">
        <v>18</v>
      </c>
    </row>
    <row r="14" spans="1:2">
      <c r="A14" s="1" t="s">
        <v>19</v>
      </c>
      <c r="B14" s="1" t="s">
        <v>20</v>
      </c>
    </row>
    <row r="15" spans="1:2">
      <c r="A15" s="1" t="s">
        <v>21</v>
      </c>
      <c r="B15" s="1" t="b">
        <v>0</v>
      </c>
    </row>
    <row r="17" spans="1:3">
      <c r="A17" s="1" t="s">
        <v>22</v>
      </c>
    </row>
    <row r="18" spans="1:3">
      <c r="A18" s="1" t="s">
        <v>23</v>
      </c>
    </row>
    <row r="19" spans="1:3">
      <c r="A19" s="1" t="s">
        <v>24</v>
      </c>
      <c r="B19" s="1">
        <v>0.5</v>
      </c>
      <c r="C19" s="1" t="s">
        <v>25</v>
      </c>
    </row>
    <row r="20" spans="1:3">
      <c r="A20" s="1" t="s">
        <v>26</v>
      </c>
      <c r="B20" s="1" t="s">
        <v>27</v>
      </c>
      <c r="C20" s="1" t="s">
        <v>28</v>
      </c>
    </row>
    <row r="21" spans="1:3">
      <c r="A21" s="1" t="s">
        <v>29</v>
      </c>
      <c r="B21" s="1" t="s">
        <v>30</v>
      </c>
      <c r="C21" s="1" t="s">
        <v>31</v>
      </c>
    </row>
    <row r="22" spans="1:3">
      <c r="A22" s="1" t="s">
        <v>32</v>
      </c>
      <c r="B22" s="1">
        <v>1</v>
      </c>
      <c r="C22" s="1" t="s">
        <v>33</v>
      </c>
    </row>
    <row r="23" spans="1:3">
      <c r="A23" s="1" t="s">
        <v>34</v>
      </c>
    </row>
    <row r="24" spans="1:3">
      <c r="A24" s="1" t="s">
        <v>35</v>
      </c>
      <c r="B24" s="1" t="s">
        <v>36</v>
      </c>
      <c r="C24" s="1" t="s">
        <v>37</v>
      </c>
    </row>
    <row r="25" spans="1:3">
      <c r="A25" s="1" t="s">
        <v>38</v>
      </c>
      <c r="B25" s="1" t="s">
        <v>39</v>
      </c>
      <c r="C25" s="1" t="s">
        <v>40</v>
      </c>
    </row>
    <row r="26" spans="1:3">
      <c r="A26" s="1" t="s">
        <v>41</v>
      </c>
      <c r="B26" s="1">
        <v>19.600000381469702</v>
      </c>
      <c r="C26" s="1" t="s">
        <v>42</v>
      </c>
    </row>
    <row r="27" spans="1:3">
      <c r="A27" s="1" t="s">
        <v>43</v>
      </c>
      <c r="B27" s="1">
        <v>22.5</v>
      </c>
      <c r="C27" s="1" t="s">
        <v>44</v>
      </c>
    </row>
    <row r="28" spans="1:3">
      <c r="A28" s="1" t="s">
        <v>45</v>
      </c>
      <c r="B28" s="1">
        <v>5.0999999046325701</v>
      </c>
      <c r="C28" s="1" t="s">
        <v>46</v>
      </c>
    </row>
    <row r="29" spans="1:3">
      <c r="A29" s="1" t="s">
        <v>47</v>
      </c>
      <c r="B29" s="1" t="s">
        <v>48</v>
      </c>
      <c r="C29" s="1" t="s">
        <v>49</v>
      </c>
    </row>
    <row r="30" spans="1:3">
      <c r="A30" s="1" t="s">
        <v>50</v>
      </c>
      <c r="B30" s="1" t="s">
        <v>51</v>
      </c>
      <c r="C30" s="1" t="s">
        <v>52</v>
      </c>
    </row>
    <row r="31" spans="1:3">
      <c r="A31" s="1" t="s">
        <v>53</v>
      </c>
    </row>
    <row r="32" spans="1:3">
      <c r="A32" s="1" t="s">
        <v>54</v>
      </c>
      <c r="B32" s="1">
        <v>20</v>
      </c>
      <c r="C32" s="1" t="s">
        <v>55</v>
      </c>
    </row>
    <row r="33" spans="1:3">
      <c r="A33" s="1" t="s">
        <v>56</v>
      </c>
      <c r="B33" s="1">
        <v>14000</v>
      </c>
      <c r="C33" s="1" t="s">
        <v>57</v>
      </c>
    </row>
    <row r="34" spans="1:3">
      <c r="A34" s="1" t="s">
        <v>58</v>
      </c>
      <c r="B34" s="1" t="b">
        <v>1</v>
      </c>
      <c r="C34" s="1" t="s">
        <v>59</v>
      </c>
    </row>
    <row r="35" spans="1:3">
      <c r="A35" s="1" t="s">
        <v>60</v>
      </c>
      <c r="B35" s="1">
        <v>1</v>
      </c>
      <c r="C35" s="1" t="s">
        <v>61</v>
      </c>
    </row>
    <row r="36" spans="1:3">
      <c r="A36" s="1" t="s">
        <v>62</v>
      </c>
      <c r="B36" s="1">
        <v>1</v>
      </c>
      <c r="C36" s="1" t="s">
        <v>63</v>
      </c>
    </row>
    <row r="37" spans="1:3">
      <c r="A37" s="1" t="s">
        <v>64</v>
      </c>
      <c r="B37" s="5" t="s">
        <v>65</v>
      </c>
    </row>
    <row r="38" spans="1:3">
      <c r="A38" s="1" t="s">
        <v>66</v>
      </c>
      <c r="B38" s="7" t="s">
        <v>67</v>
      </c>
    </row>
    <row r="40" spans="1:3">
      <c r="A40" s="1" t="s">
        <v>68</v>
      </c>
    </row>
    <row r="41" spans="1:3">
      <c r="A41" s="1" t="s">
        <v>69</v>
      </c>
      <c r="B41" s="1" t="b">
        <v>1</v>
      </c>
    </row>
    <row r="42" spans="1:3">
      <c r="A42" s="1" t="s">
        <v>70</v>
      </c>
      <c r="B42" s="1" t="s">
        <v>71</v>
      </c>
    </row>
    <row r="43" spans="1:3">
      <c r="A43" s="1" t="s">
        <v>72</v>
      </c>
      <c r="B43" s="1" t="s">
        <v>73</v>
      </c>
      <c r="C43" s="1" t="s">
        <v>74</v>
      </c>
    </row>
    <row r="44" spans="1:3">
      <c r="A44" s="1" t="s">
        <v>75</v>
      </c>
      <c r="B44" s="6" t="s">
        <v>76</v>
      </c>
      <c r="C44" s="6" t="s">
        <v>77</v>
      </c>
    </row>
    <row r="45" spans="1:3">
      <c r="A45" s="1" t="s">
        <v>78</v>
      </c>
      <c r="B45" s="1" t="s">
        <v>79</v>
      </c>
      <c r="C45" s="1" t="s">
        <v>80</v>
      </c>
    </row>
    <row r="46" spans="1:3">
      <c r="A46" s="1" t="s">
        <v>81</v>
      </c>
      <c r="B46" s="1" t="s">
        <v>82</v>
      </c>
      <c r="C46" s="1" t="s">
        <v>83</v>
      </c>
    </row>
    <row r="47" spans="1:3">
      <c r="A47" s="1" t="s">
        <v>84</v>
      </c>
      <c r="B47" s="1" t="s">
        <v>85</v>
      </c>
      <c r="C47" s="1" t="s">
        <v>86</v>
      </c>
    </row>
    <row r="48" spans="1:3">
      <c r="A48" s="1" t="s">
        <v>87</v>
      </c>
      <c r="B48" s="6" t="s">
        <v>88</v>
      </c>
      <c r="C48" s="6" t="s">
        <v>89</v>
      </c>
    </row>
    <row r="49" spans="1:6">
      <c r="A49" s="1" t="s">
        <v>90</v>
      </c>
      <c r="B49" s="1" t="s">
        <v>91</v>
      </c>
      <c r="C49" s="1" t="s">
        <v>92</v>
      </c>
    </row>
    <row r="50" spans="1:6">
      <c r="A50" s="1" t="s">
        <v>93</v>
      </c>
      <c r="B50" s="6" t="s">
        <v>94</v>
      </c>
      <c r="C50" s="6" t="s">
        <v>95</v>
      </c>
    </row>
    <row r="51" spans="1:6">
      <c r="A51" s="1" t="str">
        <f>CONCATENATE("Ks Soil normalized at ",B32," °C [cm/d]")</f>
        <v>Ks Soil normalized at 20 °C [cm/d]</v>
      </c>
      <c r="B51" s="1" t="s">
        <v>96</v>
      </c>
      <c r="C51" s="1" t="s">
        <v>97</v>
      </c>
    </row>
    <row r="52" spans="1:6">
      <c r="A52" s="1" t="str">
        <f>CONCATENATE("Ks Soil normalized at ",B32," °C [m/s]")</f>
        <v>Ks Soil normalized at 20 °C [m/s]</v>
      </c>
      <c r="B52" s="6" t="s">
        <v>98</v>
      </c>
      <c r="C52" s="6" t="s">
        <v>99</v>
      </c>
    </row>
    <row r="54" spans="1:6">
      <c r="A54" s="1" t="s">
        <v>100</v>
      </c>
    </row>
    <row r="55" spans="1:6">
      <c r="A55" s="5" t="s">
        <v>101</v>
      </c>
      <c r="B55" s="1" t="s">
        <v>102</v>
      </c>
      <c r="C55" s="1" t="s">
        <v>103</v>
      </c>
      <c r="D55" s="1" t="s">
        <v>104</v>
      </c>
      <c r="E55" s="1" t="s">
        <v>105</v>
      </c>
      <c r="F55" s="1" t="s">
        <v>106</v>
      </c>
    </row>
    <row r="56" spans="1:6">
      <c r="A56" s="4">
        <v>45974.579003483799</v>
      </c>
      <c r="B56" s="1">
        <v>901</v>
      </c>
      <c r="C56" s="1">
        <v>0</v>
      </c>
      <c r="D56" s="1">
        <v>18.204000000000001</v>
      </c>
      <c r="E56" s="1">
        <v>18.204000000000001</v>
      </c>
      <c r="F56" s="1">
        <v>21.55</v>
      </c>
    </row>
    <row r="57" spans="1:6">
      <c r="A57" s="4">
        <v>45974.5790646065</v>
      </c>
      <c r="B57" s="1">
        <v>182</v>
      </c>
      <c r="C57" s="1">
        <v>5.28</v>
      </c>
      <c r="D57" s="1">
        <v>18.172999999999998</v>
      </c>
      <c r="E57" s="1">
        <v>18.181999999999999</v>
      </c>
      <c r="F57" s="1">
        <v>21.55</v>
      </c>
    </row>
    <row r="58" spans="1:6">
      <c r="A58" s="4">
        <v>45974.579075949099</v>
      </c>
      <c r="B58" s="1">
        <v>162</v>
      </c>
      <c r="C58" s="1">
        <v>6.26</v>
      </c>
      <c r="D58" s="1">
        <v>18.175999999999998</v>
      </c>
      <c r="E58" s="1">
        <v>18.178000000000001</v>
      </c>
      <c r="F58" s="1">
        <v>21.55</v>
      </c>
    </row>
    <row r="59" spans="1:6">
      <c r="A59" s="4">
        <v>45974.579319236102</v>
      </c>
      <c r="B59" s="1">
        <v>182</v>
      </c>
      <c r="C59" s="1">
        <v>27.28</v>
      </c>
      <c r="D59" s="1">
        <v>18.074000000000002</v>
      </c>
      <c r="E59" s="1">
        <v>18.091999999999999</v>
      </c>
      <c r="F59" s="1">
        <v>21.55</v>
      </c>
    </row>
    <row r="60" spans="1:6">
      <c r="A60" s="4">
        <v>45974.579590682901</v>
      </c>
      <c r="B60" s="1">
        <v>635</v>
      </c>
      <c r="C60" s="1">
        <v>50.73</v>
      </c>
      <c r="D60" s="1">
        <v>17.972000000000001</v>
      </c>
      <c r="E60" s="1">
        <v>17.995999999999999</v>
      </c>
      <c r="F60" s="1">
        <v>21.55</v>
      </c>
    </row>
    <row r="61" spans="1:6">
      <c r="A61" s="4">
        <v>45974.579850983799</v>
      </c>
      <c r="B61" s="1">
        <v>125</v>
      </c>
      <c r="C61" s="1">
        <v>73.22</v>
      </c>
      <c r="D61" s="1">
        <v>17.869</v>
      </c>
      <c r="E61" s="1">
        <v>17.905000000000001</v>
      </c>
      <c r="F61" s="1">
        <v>21.55</v>
      </c>
    </row>
    <row r="62" spans="1:6">
      <c r="A62" s="4">
        <v>45974.580121851897</v>
      </c>
      <c r="B62" s="1">
        <v>528</v>
      </c>
      <c r="C62" s="1">
        <v>96.63</v>
      </c>
      <c r="D62" s="1">
        <v>17.765000000000001</v>
      </c>
      <c r="E62" s="1">
        <v>17.811</v>
      </c>
      <c r="F62" s="1">
        <v>21.54</v>
      </c>
    </row>
    <row r="63" spans="1:6">
      <c r="A63" s="4">
        <v>45974.580392361102</v>
      </c>
      <c r="B63" s="1">
        <v>900</v>
      </c>
      <c r="C63" s="1">
        <v>120</v>
      </c>
      <c r="D63" s="1">
        <v>17.661000000000001</v>
      </c>
      <c r="E63" s="1">
        <v>17.716999999999999</v>
      </c>
      <c r="F63" s="1">
        <v>21.55</v>
      </c>
    </row>
    <row r="64" spans="1:6">
      <c r="A64" s="4">
        <v>45974.580652129604</v>
      </c>
      <c r="B64" s="1">
        <v>344</v>
      </c>
      <c r="C64" s="1">
        <v>142.44</v>
      </c>
      <c r="D64" s="1">
        <v>17.556000000000001</v>
      </c>
      <c r="E64" s="1">
        <v>17.626999999999999</v>
      </c>
      <c r="F64" s="1">
        <v>21.54</v>
      </c>
    </row>
    <row r="65" spans="1:6">
      <c r="A65" s="4">
        <v>45974.580912245401</v>
      </c>
      <c r="B65" s="1">
        <v>818</v>
      </c>
      <c r="C65" s="1">
        <v>164.92</v>
      </c>
      <c r="D65" s="1">
        <v>17.456</v>
      </c>
      <c r="E65" s="1">
        <v>17.538</v>
      </c>
      <c r="F65" s="1">
        <v>21.54</v>
      </c>
    </row>
    <row r="66" spans="1:6">
      <c r="A66" s="4">
        <v>45974.5812044329</v>
      </c>
      <c r="B66" s="1">
        <v>63</v>
      </c>
      <c r="C66" s="1">
        <v>190.16</v>
      </c>
      <c r="D66" s="1">
        <v>17.353000000000002</v>
      </c>
      <c r="E66" s="1">
        <v>17.437999999999999</v>
      </c>
      <c r="F66" s="1">
        <v>21.54</v>
      </c>
    </row>
    <row r="67" spans="1:6">
      <c r="A67" s="4">
        <v>45974.581486620402</v>
      </c>
      <c r="B67" s="1">
        <v>444</v>
      </c>
      <c r="C67" s="1">
        <v>214.54</v>
      </c>
      <c r="D67" s="1">
        <v>17.248999999999999</v>
      </c>
      <c r="E67" s="1">
        <v>17.343</v>
      </c>
      <c r="F67" s="1">
        <v>21.53</v>
      </c>
    </row>
    <row r="68" spans="1:6">
      <c r="A68" s="4">
        <v>45974.581800555599</v>
      </c>
      <c r="B68" s="1">
        <v>568</v>
      </c>
      <c r="C68" s="1">
        <v>241.67</v>
      </c>
      <c r="D68" s="1">
        <v>17.145</v>
      </c>
      <c r="E68" s="1">
        <v>17.236999999999998</v>
      </c>
      <c r="F68" s="1">
        <v>21.53</v>
      </c>
    </row>
    <row r="69" spans="1:6">
      <c r="A69" s="4">
        <v>45974.582059953696</v>
      </c>
      <c r="B69" s="1">
        <v>980</v>
      </c>
      <c r="C69" s="1">
        <v>264.08</v>
      </c>
      <c r="D69" s="1">
        <v>17.04</v>
      </c>
      <c r="E69" s="1">
        <v>17.149999999999999</v>
      </c>
      <c r="F69" s="1">
        <v>21.53</v>
      </c>
    </row>
    <row r="70" spans="1:6">
      <c r="A70" s="4">
        <v>45974.582331018501</v>
      </c>
      <c r="B70" s="1">
        <v>400</v>
      </c>
      <c r="C70" s="1">
        <v>287.5</v>
      </c>
      <c r="D70" s="1">
        <v>16.937000000000001</v>
      </c>
      <c r="E70" s="1">
        <v>17.059999999999999</v>
      </c>
      <c r="F70" s="1">
        <v>21.53</v>
      </c>
    </row>
    <row r="71" spans="1:6">
      <c r="A71" s="4">
        <v>45974.582611944403</v>
      </c>
      <c r="B71" s="1">
        <v>672</v>
      </c>
      <c r="C71" s="1">
        <v>311.77</v>
      </c>
      <c r="D71" s="1">
        <v>16.835999999999999</v>
      </c>
      <c r="E71" s="1">
        <v>16.966000000000001</v>
      </c>
      <c r="F71" s="1">
        <v>21.54</v>
      </c>
    </row>
    <row r="72" spans="1:6">
      <c r="A72" s="4">
        <v>45974.582927488402</v>
      </c>
      <c r="B72" s="1">
        <v>935</v>
      </c>
      <c r="C72" s="1">
        <v>339.03</v>
      </c>
      <c r="D72" s="1">
        <v>16.734000000000002</v>
      </c>
      <c r="E72" s="1">
        <v>16.863</v>
      </c>
      <c r="F72" s="1">
        <v>21.53</v>
      </c>
    </row>
    <row r="73" spans="1:6">
      <c r="A73" s="4">
        <v>45974.583210127297</v>
      </c>
      <c r="B73" s="1">
        <v>355</v>
      </c>
      <c r="C73" s="1">
        <v>363.45</v>
      </c>
      <c r="D73" s="1">
        <v>16.632999999999999</v>
      </c>
      <c r="E73" s="1">
        <v>16.77</v>
      </c>
      <c r="F73" s="1">
        <v>21.53</v>
      </c>
    </row>
    <row r="74" spans="1:6">
      <c r="A74" s="4">
        <v>45974.583513437501</v>
      </c>
      <c r="B74" s="1">
        <v>561</v>
      </c>
      <c r="C74" s="1">
        <v>389.66</v>
      </c>
      <c r="D74" s="1">
        <v>16.526</v>
      </c>
      <c r="E74" s="1">
        <v>16.670999999999999</v>
      </c>
      <c r="F74" s="1">
        <v>21.53</v>
      </c>
    </row>
    <row r="75" spans="1:6">
      <c r="A75" s="4">
        <v>45974.583848969902</v>
      </c>
      <c r="B75" s="1">
        <v>551</v>
      </c>
      <c r="C75" s="1">
        <v>418.65</v>
      </c>
      <c r="D75" s="1">
        <v>16.417999999999999</v>
      </c>
      <c r="E75" s="1">
        <v>16.562999999999999</v>
      </c>
      <c r="F75" s="1">
        <v>21.53</v>
      </c>
    </row>
    <row r="76" spans="1:6">
      <c r="A76" s="4">
        <v>45974.584141956002</v>
      </c>
      <c r="B76" s="1">
        <v>865</v>
      </c>
      <c r="C76" s="1">
        <v>443.96</v>
      </c>
      <c r="D76" s="1">
        <v>16.314</v>
      </c>
      <c r="E76" s="1">
        <v>16.469000000000001</v>
      </c>
      <c r="F76" s="1">
        <v>21.52</v>
      </c>
    </row>
    <row r="77" spans="1:6">
      <c r="A77" s="4">
        <v>45974.584480011603</v>
      </c>
      <c r="B77" s="1">
        <v>73</v>
      </c>
      <c r="C77" s="1">
        <v>473.17</v>
      </c>
      <c r="D77" s="1">
        <v>16.201000000000001</v>
      </c>
      <c r="E77" s="1">
        <v>16.361000000000001</v>
      </c>
      <c r="F77" s="1">
        <v>21.52</v>
      </c>
    </row>
    <row r="78" spans="1:6">
      <c r="A78" s="4">
        <v>45974.584797557902</v>
      </c>
      <c r="B78" s="1">
        <v>509</v>
      </c>
      <c r="C78" s="1">
        <v>500.61</v>
      </c>
      <c r="D78" s="1">
        <v>16.100999999999999</v>
      </c>
      <c r="E78" s="1">
        <v>16.260999999999999</v>
      </c>
      <c r="F78" s="1">
        <v>21.52</v>
      </c>
    </row>
    <row r="79" spans="1:6">
      <c r="A79" s="4">
        <v>45974.5851241204</v>
      </c>
      <c r="B79" s="1">
        <v>724</v>
      </c>
      <c r="C79" s="1">
        <v>528.82000000000005</v>
      </c>
      <c r="D79" s="1">
        <v>15.996</v>
      </c>
      <c r="E79" s="1">
        <v>16.158000000000001</v>
      </c>
      <c r="F79" s="1">
        <v>21.52</v>
      </c>
    </row>
    <row r="80" spans="1:6">
      <c r="A80" s="4">
        <v>45974.585438460701</v>
      </c>
      <c r="B80" s="1">
        <v>883</v>
      </c>
      <c r="C80" s="1">
        <v>555.98</v>
      </c>
      <c r="D80" s="1">
        <v>15.895</v>
      </c>
      <c r="E80" s="1">
        <v>16.059999999999999</v>
      </c>
      <c r="F80" s="1">
        <v>21.52</v>
      </c>
    </row>
    <row r="81" spans="1:6">
      <c r="A81" s="4">
        <v>45974.585741724499</v>
      </c>
      <c r="B81" s="1">
        <v>85</v>
      </c>
      <c r="C81" s="1">
        <v>582.17999999999995</v>
      </c>
      <c r="D81" s="1">
        <v>15.795</v>
      </c>
      <c r="E81" s="1">
        <v>15.965</v>
      </c>
      <c r="F81" s="1">
        <v>21.51</v>
      </c>
    </row>
    <row r="82" spans="1:6">
      <c r="A82" s="4">
        <v>45974.586066817101</v>
      </c>
      <c r="B82" s="1">
        <v>173</v>
      </c>
      <c r="C82" s="1">
        <v>610.27</v>
      </c>
      <c r="D82" s="1">
        <v>15.693</v>
      </c>
      <c r="E82" s="1">
        <v>15.865</v>
      </c>
      <c r="F82" s="1">
        <v>21.52</v>
      </c>
    </row>
    <row r="83" spans="1:6">
      <c r="A83" s="4">
        <v>45974.5864132407</v>
      </c>
      <c r="B83" s="1">
        <v>104</v>
      </c>
      <c r="C83" s="1">
        <v>640.20000000000005</v>
      </c>
      <c r="D83" s="1">
        <v>15.59</v>
      </c>
      <c r="E83" s="1">
        <v>15.759</v>
      </c>
      <c r="F83" s="1">
        <v>21.51</v>
      </c>
    </row>
    <row r="84" spans="1:6">
      <c r="A84" s="4">
        <v>45974.586726944399</v>
      </c>
      <c r="B84" s="1">
        <v>208</v>
      </c>
      <c r="C84" s="1">
        <v>667.31</v>
      </c>
      <c r="D84" s="1">
        <v>15.473000000000001</v>
      </c>
      <c r="E84" s="1">
        <v>15.663</v>
      </c>
      <c r="F84" s="1">
        <v>21.51</v>
      </c>
    </row>
    <row r="85" spans="1:6">
      <c r="A85" s="4">
        <v>45974.587117314797</v>
      </c>
      <c r="B85" s="1">
        <v>936</v>
      </c>
      <c r="C85" s="1">
        <v>701.03</v>
      </c>
      <c r="D85" s="1">
        <v>15.368</v>
      </c>
      <c r="E85" s="1">
        <v>15.545999999999999</v>
      </c>
      <c r="F85" s="1">
        <v>21.51</v>
      </c>
    </row>
    <row r="86" spans="1:6">
      <c r="A86" s="4">
        <v>45974.587431886597</v>
      </c>
      <c r="B86" s="1">
        <v>115</v>
      </c>
      <c r="C86" s="1">
        <v>728.21</v>
      </c>
      <c r="D86" s="1">
        <v>15.263</v>
      </c>
      <c r="E86" s="1">
        <v>15.451000000000001</v>
      </c>
      <c r="F86" s="1">
        <v>21.51</v>
      </c>
    </row>
    <row r="87" spans="1:6">
      <c r="A87" s="4">
        <v>45974.5877465046</v>
      </c>
      <c r="B87" s="1">
        <v>298</v>
      </c>
      <c r="C87" s="1">
        <v>755.4</v>
      </c>
      <c r="D87" s="1">
        <v>15.162000000000001</v>
      </c>
      <c r="E87" s="1">
        <v>15.356999999999999</v>
      </c>
      <c r="F87" s="1">
        <v>21.51</v>
      </c>
    </row>
    <row r="88" spans="1:6">
      <c r="A88" s="4">
        <v>45974.588126979201</v>
      </c>
      <c r="B88" s="1">
        <v>171</v>
      </c>
      <c r="C88" s="1">
        <v>788.27</v>
      </c>
      <c r="D88" s="1">
        <v>15.055999999999999</v>
      </c>
      <c r="E88" s="1">
        <v>15.244999999999999</v>
      </c>
      <c r="F88" s="1">
        <v>21.51</v>
      </c>
    </row>
    <row r="89" spans="1:6">
      <c r="A89" s="4">
        <v>45974.588496608798</v>
      </c>
      <c r="B89" s="1">
        <v>107</v>
      </c>
      <c r="C89" s="1">
        <v>820.21</v>
      </c>
      <c r="D89" s="1">
        <v>14.951000000000001</v>
      </c>
      <c r="E89" s="1">
        <v>15.135999999999999</v>
      </c>
      <c r="F89" s="1">
        <v>21.51</v>
      </c>
    </row>
    <row r="90" spans="1:6">
      <c r="A90" s="4">
        <v>45974.588832696798</v>
      </c>
      <c r="B90" s="1">
        <v>145</v>
      </c>
      <c r="C90" s="1">
        <v>849.24</v>
      </c>
      <c r="D90" s="1">
        <v>14.85</v>
      </c>
      <c r="E90" s="1">
        <v>15.038</v>
      </c>
      <c r="F90" s="1">
        <v>21.51</v>
      </c>
    </row>
    <row r="91" spans="1:6">
      <c r="A91" s="4">
        <v>45974.589156574097</v>
      </c>
      <c r="B91" s="1">
        <v>128</v>
      </c>
      <c r="C91" s="1">
        <v>877.23</v>
      </c>
      <c r="D91" s="1">
        <v>14.75</v>
      </c>
      <c r="E91" s="1">
        <v>14.945</v>
      </c>
      <c r="F91" s="1">
        <v>21.5</v>
      </c>
    </row>
    <row r="92" spans="1:6">
      <c r="A92" s="4">
        <v>45974.589537604203</v>
      </c>
      <c r="B92" s="1">
        <v>49</v>
      </c>
      <c r="C92" s="1">
        <v>910.15</v>
      </c>
      <c r="D92" s="1">
        <v>14.648999999999999</v>
      </c>
      <c r="E92" s="1">
        <v>14.835000000000001</v>
      </c>
      <c r="F92" s="1">
        <v>21.5</v>
      </c>
    </row>
    <row r="93" spans="1:6">
      <c r="A93" s="4">
        <v>45974.589884965302</v>
      </c>
      <c r="B93" s="1">
        <v>61</v>
      </c>
      <c r="C93" s="1">
        <v>940.16</v>
      </c>
      <c r="D93" s="1">
        <v>14.545999999999999</v>
      </c>
      <c r="E93" s="1">
        <v>14.736000000000001</v>
      </c>
      <c r="F93" s="1">
        <v>21.5</v>
      </c>
    </row>
    <row r="94" spans="1:6">
      <c r="A94" s="4">
        <v>45974.590244606501</v>
      </c>
      <c r="B94" s="1">
        <v>134</v>
      </c>
      <c r="C94" s="1">
        <v>971.23</v>
      </c>
      <c r="D94" s="1">
        <v>14.444000000000001</v>
      </c>
      <c r="E94" s="1">
        <v>14.634</v>
      </c>
      <c r="F94" s="1">
        <v>21.5</v>
      </c>
    </row>
    <row r="95" spans="1:6">
      <c r="A95" s="4">
        <v>45974.590603321798</v>
      </c>
      <c r="B95" s="1">
        <v>127</v>
      </c>
      <c r="C95" s="1">
        <v>1002.23</v>
      </c>
      <c r="D95" s="1">
        <v>14.342000000000001</v>
      </c>
      <c r="E95" s="1">
        <v>14.532999999999999</v>
      </c>
      <c r="F95" s="1">
        <v>21.5</v>
      </c>
    </row>
    <row r="96" spans="1:6">
      <c r="A96" s="4">
        <v>45974.5909619792</v>
      </c>
      <c r="B96" s="1">
        <v>115</v>
      </c>
      <c r="C96" s="1">
        <v>1033.21</v>
      </c>
      <c r="D96" s="1">
        <v>14.24</v>
      </c>
      <c r="E96" s="1">
        <v>14.433</v>
      </c>
      <c r="F96" s="1">
        <v>21.5</v>
      </c>
    </row>
    <row r="97" spans="1:6">
      <c r="A97" s="4">
        <v>45974.591343506901</v>
      </c>
      <c r="B97" s="1">
        <v>79</v>
      </c>
      <c r="C97" s="1">
        <v>1066.18</v>
      </c>
      <c r="D97" s="1">
        <v>14.125</v>
      </c>
      <c r="E97" s="1">
        <v>14.327999999999999</v>
      </c>
      <c r="F97" s="1">
        <v>21.49</v>
      </c>
    </row>
    <row r="98" spans="1:6">
      <c r="A98" s="4">
        <v>45974.591767858801</v>
      </c>
      <c r="B98" s="1">
        <v>743</v>
      </c>
      <c r="C98" s="1">
        <v>1102.8399999999999</v>
      </c>
      <c r="D98" s="1">
        <v>14.025</v>
      </c>
      <c r="E98" s="1">
        <v>14.211</v>
      </c>
      <c r="F98" s="1">
        <v>21.5</v>
      </c>
    </row>
    <row r="99" spans="1:6">
      <c r="A99" s="4">
        <v>45974.592147523203</v>
      </c>
      <c r="B99" s="1">
        <v>546</v>
      </c>
      <c r="C99" s="1">
        <v>1135.6500000000001</v>
      </c>
      <c r="D99" s="1">
        <v>13.923</v>
      </c>
      <c r="E99" s="1">
        <v>14.108000000000001</v>
      </c>
      <c r="F99" s="1">
        <v>21.5</v>
      </c>
    </row>
    <row r="100" spans="1:6">
      <c r="A100" s="4">
        <v>45974.592526168999</v>
      </c>
      <c r="B100" s="1">
        <v>261</v>
      </c>
      <c r="C100" s="1">
        <v>1168.3599999999999</v>
      </c>
      <c r="D100" s="1">
        <v>13.823</v>
      </c>
      <c r="E100" s="1">
        <v>14.006</v>
      </c>
      <c r="F100" s="1">
        <v>21.49</v>
      </c>
    </row>
    <row r="101" spans="1:6">
      <c r="A101" s="4">
        <v>45974.592927141202</v>
      </c>
      <c r="B101" s="1">
        <v>905</v>
      </c>
      <c r="C101" s="1">
        <v>1203</v>
      </c>
      <c r="D101" s="1">
        <v>13.718999999999999</v>
      </c>
      <c r="E101" s="1">
        <v>13.898</v>
      </c>
      <c r="F101" s="1">
        <v>21.49</v>
      </c>
    </row>
    <row r="102" spans="1:6">
      <c r="A102" s="4">
        <v>45974.5933068866</v>
      </c>
      <c r="B102" s="1">
        <v>715</v>
      </c>
      <c r="C102" s="1">
        <v>1235.81</v>
      </c>
      <c r="D102" s="1">
        <v>13.618</v>
      </c>
      <c r="E102" s="1">
        <v>13.797000000000001</v>
      </c>
      <c r="F102" s="1">
        <v>21.49</v>
      </c>
    </row>
    <row r="103" spans="1:6">
      <c r="A103" s="4">
        <v>45974.593687083303</v>
      </c>
      <c r="B103" s="1">
        <v>564</v>
      </c>
      <c r="C103" s="1">
        <v>1268.6600000000001</v>
      </c>
      <c r="D103" s="1">
        <v>13.515000000000001</v>
      </c>
      <c r="E103" s="1">
        <v>13.696999999999999</v>
      </c>
      <c r="F103" s="1">
        <v>21.49</v>
      </c>
    </row>
    <row r="104" spans="1:6">
      <c r="A104" s="4">
        <v>45974.594099317103</v>
      </c>
      <c r="B104" s="1">
        <v>181</v>
      </c>
      <c r="C104" s="1">
        <v>1304.28</v>
      </c>
      <c r="D104" s="1">
        <v>13.414</v>
      </c>
      <c r="E104" s="1">
        <v>13.589</v>
      </c>
      <c r="F104" s="1">
        <v>21.49</v>
      </c>
    </row>
    <row r="105" spans="1:6">
      <c r="A105" s="4">
        <v>45974.594490868098</v>
      </c>
      <c r="B105" s="1">
        <v>11</v>
      </c>
      <c r="C105" s="1">
        <v>1338.11</v>
      </c>
      <c r="D105" s="1">
        <v>13.311</v>
      </c>
      <c r="E105" s="1">
        <v>13.488</v>
      </c>
      <c r="F105" s="1">
        <v>21.49</v>
      </c>
    </row>
    <row r="106" spans="1:6">
      <c r="A106" s="4">
        <v>45974.594883055601</v>
      </c>
      <c r="B106" s="1">
        <v>896</v>
      </c>
      <c r="C106" s="1">
        <v>1371.99</v>
      </c>
      <c r="D106" s="1">
        <v>13.198</v>
      </c>
      <c r="E106" s="1">
        <v>13.387</v>
      </c>
      <c r="F106" s="1">
        <v>21.49</v>
      </c>
    </row>
    <row r="107" spans="1:6">
      <c r="A107" s="4">
        <v>45974.595289213001</v>
      </c>
      <c r="B107" s="1">
        <v>988</v>
      </c>
      <c r="C107" s="1">
        <v>1407.09</v>
      </c>
      <c r="D107" s="1">
        <v>13.084</v>
      </c>
      <c r="E107" s="1">
        <v>13.282999999999999</v>
      </c>
      <c r="F107" s="1">
        <v>21.49</v>
      </c>
    </row>
    <row r="108" spans="1:6">
      <c r="A108" s="4">
        <v>45974.595745729202</v>
      </c>
      <c r="B108" s="1">
        <v>431</v>
      </c>
      <c r="C108" s="1">
        <v>1446.53</v>
      </c>
      <c r="D108" s="1">
        <v>12.981999999999999</v>
      </c>
      <c r="E108" s="1">
        <v>13.167999999999999</v>
      </c>
      <c r="F108" s="1">
        <v>21.49</v>
      </c>
    </row>
    <row r="109" spans="1:6">
      <c r="A109" s="4">
        <v>45974.596125694399</v>
      </c>
      <c r="B109" s="1">
        <v>260</v>
      </c>
      <c r="C109" s="1">
        <v>1479.36</v>
      </c>
      <c r="D109" s="1">
        <v>12.882</v>
      </c>
      <c r="E109" s="1">
        <v>13.071999999999999</v>
      </c>
      <c r="F109" s="1">
        <v>21.49</v>
      </c>
    </row>
    <row r="110" spans="1:6">
      <c r="A110" s="4">
        <v>45974.5965389583</v>
      </c>
      <c r="B110" s="1">
        <v>966</v>
      </c>
      <c r="C110" s="1">
        <v>1515.06</v>
      </c>
      <c r="D110" s="1">
        <v>12.781000000000001</v>
      </c>
      <c r="E110" s="1">
        <v>12.97</v>
      </c>
      <c r="F110" s="1">
        <v>21.49</v>
      </c>
    </row>
    <row r="111" spans="1:6">
      <c r="A111" s="4">
        <v>45974.596962835603</v>
      </c>
      <c r="B111" s="1">
        <v>589</v>
      </c>
      <c r="C111" s="1">
        <v>1551.69</v>
      </c>
      <c r="D111" s="1">
        <v>12.679</v>
      </c>
      <c r="E111" s="1">
        <v>12.865</v>
      </c>
      <c r="F111" s="1">
        <v>21.49</v>
      </c>
    </row>
    <row r="112" spans="1:6">
      <c r="A112" s="4">
        <v>45974.597397164398</v>
      </c>
      <c r="B112" s="1">
        <v>115</v>
      </c>
      <c r="C112" s="1">
        <v>1589.21</v>
      </c>
      <c r="D112" s="1">
        <v>12.573</v>
      </c>
      <c r="E112" s="1">
        <v>12.759</v>
      </c>
      <c r="F112" s="1">
        <v>21.49</v>
      </c>
    </row>
    <row r="113" spans="1:6">
      <c r="A113" s="4">
        <v>45974.597885844902</v>
      </c>
      <c r="B113" s="1">
        <v>337</v>
      </c>
      <c r="C113" s="1">
        <v>1631.44</v>
      </c>
      <c r="D113" s="1">
        <v>12.465</v>
      </c>
      <c r="E113" s="1">
        <v>12.641</v>
      </c>
      <c r="F113" s="1">
        <v>21.48</v>
      </c>
    </row>
    <row r="114" spans="1:6">
      <c r="A114" s="4">
        <v>45974.598341759302</v>
      </c>
      <c r="B114" s="1">
        <v>728</v>
      </c>
      <c r="C114" s="1">
        <v>1670.83</v>
      </c>
      <c r="D114" s="1">
        <v>12.365</v>
      </c>
      <c r="E114" s="1">
        <v>12.531000000000001</v>
      </c>
      <c r="F114" s="1">
        <v>21.49</v>
      </c>
    </row>
    <row r="115" spans="1:6">
      <c r="A115" s="4">
        <v>45974.598812129603</v>
      </c>
      <c r="B115" s="1">
        <v>368</v>
      </c>
      <c r="C115" s="1">
        <v>1711.47</v>
      </c>
      <c r="D115" s="1">
        <v>12.259</v>
      </c>
      <c r="E115" s="1">
        <v>12.42</v>
      </c>
      <c r="F115" s="1">
        <v>21.49</v>
      </c>
    </row>
    <row r="116" spans="1:6">
      <c r="A116" s="4">
        <v>45974.599192094902</v>
      </c>
      <c r="B116" s="1">
        <v>197</v>
      </c>
      <c r="C116" s="1">
        <v>1744.3</v>
      </c>
      <c r="D116" s="1">
        <v>12.156000000000001</v>
      </c>
      <c r="E116" s="1">
        <v>12.33</v>
      </c>
      <c r="F116" s="1">
        <v>21.48</v>
      </c>
    </row>
    <row r="117" spans="1:6">
      <c r="A117" s="4">
        <v>45974.599659780099</v>
      </c>
      <c r="B117" s="1">
        <v>605</v>
      </c>
      <c r="C117" s="1">
        <v>1784.7</v>
      </c>
      <c r="D117" s="1">
        <v>12.055999999999999</v>
      </c>
      <c r="E117" s="1">
        <v>12.221</v>
      </c>
      <c r="F117" s="1">
        <v>21.49</v>
      </c>
    </row>
    <row r="118" spans="1:6">
      <c r="A118" s="4">
        <v>45974.600116354202</v>
      </c>
      <c r="B118" s="1">
        <v>53</v>
      </c>
      <c r="C118" s="1">
        <v>1824.15</v>
      </c>
      <c r="D118" s="1">
        <v>11.948</v>
      </c>
      <c r="E118" s="1">
        <v>12.116</v>
      </c>
      <c r="F118" s="1">
        <v>21.49</v>
      </c>
    </row>
    <row r="119" spans="1:6">
      <c r="A119" s="4">
        <v>45974.600606088003</v>
      </c>
      <c r="B119" s="1">
        <v>366</v>
      </c>
      <c r="C119" s="1">
        <v>1866.47</v>
      </c>
      <c r="D119" s="1">
        <v>11.847</v>
      </c>
      <c r="E119" s="1">
        <v>12.004</v>
      </c>
      <c r="F119" s="1">
        <v>21.48</v>
      </c>
    </row>
    <row r="120" spans="1:6">
      <c r="A120" s="4">
        <v>45974.601084641203</v>
      </c>
      <c r="B120" s="1">
        <v>713</v>
      </c>
      <c r="C120" s="1">
        <v>1907.81</v>
      </c>
      <c r="D120" s="1">
        <v>11.743</v>
      </c>
      <c r="E120" s="1">
        <v>11.895</v>
      </c>
      <c r="F120" s="1">
        <v>21.48</v>
      </c>
    </row>
    <row r="121" spans="1:6">
      <c r="A121" s="4">
        <v>45974.601563275501</v>
      </c>
      <c r="B121" s="1">
        <v>67</v>
      </c>
      <c r="C121" s="1">
        <v>1949.17</v>
      </c>
      <c r="D121" s="1">
        <v>11.643000000000001</v>
      </c>
      <c r="E121" s="1">
        <v>11.788</v>
      </c>
      <c r="F121" s="1">
        <v>21.48</v>
      </c>
    </row>
    <row r="122" spans="1:6">
      <c r="A122" s="4">
        <v>45974.602051423601</v>
      </c>
      <c r="B122" s="1">
        <v>243</v>
      </c>
      <c r="C122" s="1">
        <v>1991.34</v>
      </c>
      <c r="D122" s="1">
        <v>11.535</v>
      </c>
      <c r="E122" s="1">
        <v>11.68</v>
      </c>
      <c r="F122" s="1">
        <v>21.48</v>
      </c>
    </row>
    <row r="123" spans="1:6">
      <c r="A123" s="4">
        <v>45974.6025605787</v>
      </c>
      <c r="B123" s="1">
        <v>234</v>
      </c>
      <c r="C123" s="1">
        <v>2035.33</v>
      </c>
      <c r="D123" s="1">
        <v>11.43</v>
      </c>
      <c r="E123" s="1">
        <v>11.568</v>
      </c>
      <c r="F123" s="1">
        <v>21.48</v>
      </c>
    </row>
    <row r="124" spans="1:6">
      <c r="A124" s="4">
        <v>45974.603049872698</v>
      </c>
      <c r="B124" s="1">
        <v>509</v>
      </c>
      <c r="C124" s="1">
        <v>2077.61</v>
      </c>
      <c r="D124" s="1">
        <v>11.33</v>
      </c>
      <c r="E124" s="1">
        <v>11.461</v>
      </c>
      <c r="F124" s="1">
        <v>21.48</v>
      </c>
    </row>
    <row r="125" spans="1:6">
      <c r="A125" s="4">
        <v>45974.603549768501</v>
      </c>
      <c r="B125" s="1">
        <v>700</v>
      </c>
      <c r="C125" s="1">
        <v>2120.8000000000002</v>
      </c>
      <c r="D125" s="1">
        <v>11.228999999999999</v>
      </c>
      <c r="E125" s="1">
        <v>11.353999999999999</v>
      </c>
      <c r="F125" s="1">
        <v>21.48</v>
      </c>
    </row>
    <row r="126" spans="1:6">
      <c r="A126" s="4">
        <v>45974.604038240701</v>
      </c>
      <c r="B126" s="1">
        <v>904</v>
      </c>
      <c r="C126" s="1">
        <v>2163</v>
      </c>
      <c r="D126" s="1">
        <v>11.125999999999999</v>
      </c>
      <c r="E126" s="1">
        <v>11.249000000000001</v>
      </c>
      <c r="F126" s="1">
        <v>21.48</v>
      </c>
    </row>
    <row r="127" spans="1:6">
      <c r="A127" s="4">
        <v>45974.604604178203</v>
      </c>
      <c r="B127" s="1">
        <v>801</v>
      </c>
      <c r="C127" s="1">
        <v>2211.9</v>
      </c>
      <c r="D127" s="1">
        <v>11.022</v>
      </c>
      <c r="E127" s="1">
        <v>11.13</v>
      </c>
      <c r="F127" s="1">
        <v>21.47</v>
      </c>
    </row>
    <row r="128" spans="1:6">
      <c r="A128" s="4">
        <v>45974.6051253935</v>
      </c>
      <c r="B128" s="1">
        <v>834</v>
      </c>
      <c r="C128" s="1">
        <v>2256.9299999999998</v>
      </c>
      <c r="D128" s="1">
        <v>10.919</v>
      </c>
      <c r="E128" s="1">
        <v>11.021000000000001</v>
      </c>
      <c r="F128" s="1">
        <v>21.47</v>
      </c>
    </row>
    <row r="129" spans="1:6">
      <c r="A129" s="4">
        <v>45974.605661030102</v>
      </c>
      <c r="B129" s="1">
        <v>113</v>
      </c>
      <c r="C129" s="1">
        <v>2303.21</v>
      </c>
      <c r="D129" s="1">
        <v>10.817</v>
      </c>
      <c r="E129" s="1">
        <v>10.911</v>
      </c>
      <c r="F129" s="1">
        <v>21.49</v>
      </c>
    </row>
    <row r="130" spans="1:6">
      <c r="A130" s="4">
        <v>45974.606194294</v>
      </c>
      <c r="B130" s="1">
        <v>187</v>
      </c>
      <c r="C130" s="1">
        <v>2349.29</v>
      </c>
      <c r="D130" s="1">
        <v>10.714</v>
      </c>
      <c r="E130" s="1">
        <v>10.802</v>
      </c>
      <c r="F130" s="1">
        <v>21.47</v>
      </c>
    </row>
    <row r="131" spans="1:6">
      <c r="A131" s="4">
        <v>45974.606748356498</v>
      </c>
      <c r="B131" s="1">
        <v>58</v>
      </c>
      <c r="C131" s="1">
        <v>2397.16</v>
      </c>
      <c r="D131" s="1">
        <v>10.613</v>
      </c>
      <c r="E131" s="1">
        <v>10.691000000000001</v>
      </c>
      <c r="F131" s="1">
        <v>21.47</v>
      </c>
    </row>
    <row r="132" spans="1:6">
      <c r="A132" s="4">
        <v>45974.607314120403</v>
      </c>
      <c r="B132" s="1">
        <v>940</v>
      </c>
      <c r="C132" s="1">
        <v>2446.04</v>
      </c>
      <c r="D132" s="1">
        <v>10.513</v>
      </c>
      <c r="E132" s="1">
        <v>10.577999999999999</v>
      </c>
      <c r="F132" s="1">
        <v>21.49</v>
      </c>
    </row>
    <row r="133" spans="1:6">
      <c r="A133" s="4">
        <v>45974.607847453699</v>
      </c>
      <c r="B133" s="1">
        <v>20</v>
      </c>
      <c r="C133" s="1">
        <v>2492.12</v>
      </c>
      <c r="D133" s="1">
        <v>10.411</v>
      </c>
      <c r="E133" s="1">
        <v>10.473000000000001</v>
      </c>
      <c r="F133" s="1">
        <v>21.47</v>
      </c>
    </row>
    <row r="134" spans="1:6">
      <c r="A134" s="4">
        <v>45974.608413263901</v>
      </c>
      <c r="B134" s="1">
        <v>906</v>
      </c>
      <c r="C134" s="1">
        <v>2541</v>
      </c>
      <c r="D134" s="1">
        <v>10.311</v>
      </c>
      <c r="E134" s="1">
        <v>10.363</v>
      </c>
      <c r="F134" s="1">
        <v>21.47</v>
      </c>
    </row>
    <row r="135" spans="1:6">
      <c r="A135" s="4">
        <v>45974.608944965301</v>
      </c>
      <c r="B135" s="1">
        <v>845</v>
      </c>
      <c r="C135" s="1">
        <v>2586.94</v>
      </c>
      <c r="D135" s="1">
        <v>10.210000000000001</v>
      </c>
      <c r="E135" s="1">
        <v>10.26</v>
      </c>
      <c r="F135" s="1">
        <v>21.47</v>
      </c>
    </row>
    <row r="136" spans="1:6">
      <c r="A136" s="4">
        <v>45974.609532708302</v>
      </c>
      <c r="B136" s="1">
        <v>626</v>
      </c>
      <c r="C136" s="1">
        <v>2637.72</v>
      </c>
      <c r="D136" s="1">
        <v>10.11</v>
      </c>
      <c r="E136" s="1">
        <v>10.148</v>
      </c>
      <c r="F136" s="1">
        <v>21.47</v>
      </c>
    </row>
    <row r="137" spans="1:6">
      <c r="A137" s="4">
        <v>45974.610086041699</v>
      </c>
      <c r="B137" s="1">
        <v>434</v>
      </c>
      <c r="C137" s="1">
        <v>2685.53</v>
      </c>
      <c r="D137" s="1">
        <v>10.009</v>
      </c>
      <c r="E137" s="1">
        <v>10.044</v>
      </c>
      <c r="F137" s="1">
        <v>21.47</v>
      </c>
    </row>
    <row r="138" spans="1:6">
      <c r="A138" s="4">
        <v>45974.610673588002</v>
      </c>
      <c r="B138" s="1">
        <v>198</v>
      </c>
      <c r="C138" s="1">
        <v>2736.3</v>
      </c>
      <c r="D138" s="1">
        <v>9.9060000000000006</v>
      </c>
      <c r="E138" s="1">
        <v>9.9350000000000005</v>
      </c>
      <c r="F138" s="1">
        <v>21.47</v>
      </c>
    </row>
    <row r="139" spans="1:6">
      <c r="A139" s="4">
        <v>45974.611260810198</v>
      </c>
      <c r="B139" s="1">
        <v>934</v>
      </c>
      <c r="C139" s="1">
        <v>2787.03</v>
      </c>
      <c r="D139" s="1">
        <v>9.8059999999999992</v>
      </c>
      <c r="E139" s="1">
        <v>9.827</v>
      </c>
      <c r="F139" s="1">
        <v>21.46</v>
      </c>
    </row>
    <row r="140" spans="1:6">
      <c r="A140" s="4">
        <v>45974.611847743101</v>
      </c>
      <c r="B140" s="1">
        <v>645</v>
      </c>
      <c r="C140" s="1">
        <v>2837.74</v>
      </c>
      <c r="D140" s="1">
        <v>9.7050000000000001</v>
      </c>
      <c r="E140" s="1">
        <v>9.7200000000000006</v>
      </c>
      <c r="F140" s="1">
        <v>21.47</v>
      </c>
    </row>
    <row r="141" spans="1:6">
      <c r="A141" s="4">
        <v>45974.612391377297</v>
      </c>
      <c r="B141" s="1">
        <v>615</v>
      </c>
      <c r="C141" s="1">
        <v>2884.71</v>
      </c>
      <c r="D141" s="1">
        <v>9.5980000000000008</v>
      </c>
      <c r="E141" s="1">
        <v>9.6229999999999993</v>
      </c>
      <c r="F141" s="1">
        <v>21.47</v>
      </c>
    </row>
    <row r="142" spans="1:6">
      <c r="A142" s="4">
        <v>45974.613101979201</v>
      </c>
      <c r="B142" s="1">
        <v>11</v>
      </c>
      <c r="C142" s="1">
        <v>2946.11</v>
      </c>
      <c r="D142" s="1">
        <v>9.4969999999999999</v>
      </c>
      <c r="E142" s="1">
        <v>9.4969999999999999</v>
      </c>
      <c r="F142" s="1">
        <v>21.47</v>
      </c>
    </row>
    <row r="143" spans="1:6">
      <c r="A143" s="4"/>
    </row>
    <row r="144" spans="1:6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586A30-6DDE-4470-A4AB-EE135C662CA5}"/>
</file>

<file path=customXml/itemProps2.xml><?xml version="1.0" encoding="utf-8"?>
<ds:datastoreItem xmlns:ds="http://schemas.openxmlformats.org/officeDocument/2006/customXml" ds:itemID="{FC09E8A5-2038-45CD-8EAE-69FF0640309C}"/>
</file>

<file path=customXml/itemProps3.xml><?xml version="1.0" encoding="utf-8"?>
<ds:datastoreItem xmlns:ds="http://schemas.openxmlformats.org/officeDocument/2006/customXml" ds:itemID="{DFADF4EE-91E0-48B5-BC8D-1954E1E8CD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 Weixler</dc:creator>
  <cp:keywords/>
  <dc:description/>
  <cp:lastModifiedBy>Rod, Kenton A</cp:lastModifiedBy>
  <cp:revision/>
  <dcterms:created xsi:type="dcterms:W3CDTF">2017-12-12T14:35:01Z</dcterms:created>
  <dcterms:modified xsi:type="dcterms:W3CDTF">2025-12-09T23:17:44Z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
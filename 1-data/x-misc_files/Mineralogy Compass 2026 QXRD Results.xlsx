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kenton_rod_pnnl_gov1/Documents/Desktop/COMPASS/DELUGE/"/>
    </mc:Choice>
  </mc:AlternateContent>
  <xr:revisionPtr revIDLastSave="0" documentId="8_{613FA720-6868-4048-A105-92D6123B9BB3}" xr6:coauthVersionLast="47" xr6:coauthVersionMax="47" xr10:uidLastSave="{00000000-0000-0000-0000-000000000000}"/>
  <bookViews>
    <workbookView xWindow="2160" yWindow="0" windowWidth="10640" windowHeight="10170" firstSheet="1" activeTab="1" xr2:uid="{05CFB9E6-C037-4D8D-A727-901E55373821}"/>
  </bookViews>
  <sheets>
    <sheet name="TopasOutput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2" l="1"/>
  <c r="D1" i="2" l="1"/>
  <c r="F1" i="2"/>
  <c r="H1" i="2"/>
  <c r="J1" i="2"/>
  <c r="L1" i="2"/>
  <c r="B1" i="2"/>
</calcChain>
</file>

<file path=xl/sharedStrings.xml><?xml version="1.0" encoding="utf-8"?>
<sst xmlns="http://schemas.openxmlformats.org/spreadsheetml/2006/main" count="83" uniqueCount="82">
  <si>
    <t>File</t>
  </si>
  <si>
    <t>Quartz</t>
  </si>
  <si>
    <t>Albite</t>
  </si>
  <si>
    <t>Microcline</t>
  </si>
  <si>
    <t>Mica</t>
  </si>
  <si>
    <t>Chlorite</t>
  </si>
  <si>
    <t>Kaolinite</t>
  </si>
  <si>
    <t>Qtz_Scale</t>
  </si>
  <si>
    <t>Rwp</t>
  </si>
  <si>
    <t>X:\d3y093 Mark Bowden\User Projects\Kenton Rod\2026\COMPASS\01.xy</t>
  </si>
  <si>
    <t>X:\d3y093 Mark Bowden\User Projects\Kenton Rod\2026\COMPASS\02.xy</t>
  </si>
  <si>
    <t>X:\d3y093 Mark Bowden\User Projects\Kenton Rod\2026\COMPASS\03.xy</t>
  </si>
  <si>
    <t>X:\d3y093 Mark Bowden\User Projects\Kenton Rod\2026\COMPASS\04.xy</t>
  </si>
  <si>
    <t>X:\d3y093 Mark Bowden\User Projects\Kenton Rod\2026\COMPASS\05.xy</t>
  </si>
  <si>
    <t>X:\d3y093 Mark Bowden\User Projects\Kenton Rod\2026\COMPASS\06.xy</t>
  </si>
  <si>
    <t>X:\d3y093 Mark Bowden\User Projects\Kenton Rod\2026\COMPASS\07.xy</t>
  </si>
  <si>
    <t>X:\d3y093 Mark Bowden\User Projects\Kenton Rod\2026\COMPASS\08.xy</t>
  </si>
  <si>
    <t>X:\d3y093 Mark Bowden\User Projects\Kenton Rod\2026\COMPASS\09.xy</t>
  </si>
  <si>
    <t>X:\d3y093 Mark Bowden\User Projects\Kenton Rod\2026\COMPASS\DLG_F2_BD_B1-01.xy</t>
  </si>
  <si>
    <t>X:\d3y093 Mark Bowden\User Projects\Kenton Rod\2026\COMPASS\DLG_F2_BD_B2-02.xy</t>
  </si>
  <si>
    <t>X:\d3y093 Mark Bowden\User Projects\Kenton Rod\2026\COMPASS\DLG_F2_BD_B3-03.xy</t>
  </si>
  <si>
    <t>X:\d3y093 Mark Bowden\User Projects\Kenton Rod\2026\COMPASS\DLG_F3_BD_A1-04.xy</t>
  </si>
  <si>
    <t>X:\d3y093 Mark Bowden\User Projects\Kenton Rod\2026\COMPASS\DLG_F3_BD_A2-05.xy</t>
  </si>
  <si>
    <t>X:\d3y093 Mark Bowden\User Projects\Kenton Rod\2026\COMPASS\DLG_F3_BD_A3-06.xy</t>
  </si>
  <si>
    <t>X:\d3y093 Mark Bowden\User Projects\Kenton Rod\2026\COMPASS\DLG_F3_BD_B1-07.xy</t>
  </si>
  <si>
    <t>X:\d3y093 Mark Bowden\User Projects\Kenton Rod\2026\COMPASS\DLG_F3_BD_B2-08.xy</t>
  </si>
  <si>
    <t>X:\d3y093 Mark Bowden\User Projects\Kenton Rod\2026\COMPASS\DLG_F3_BD_B3-09.xy</t>
  </si>
  <si>
    <t>X:\d3y093 Mark Bowden\User Projects\Kenton Rod\2026\COMPASS\DLG_F4_BD_A1-01.xy</t>
  </si>
  <si>
    <t>X:\d3y093 Mark Bowden\User Projects\Kenton Rod\2026\COMPASS\DLG_F4_BD_A2-02.xy</t>
  </si>
  <si>
    <t>X:\d3y093 Mark Bowden\User Projects\Kenton Rod\2026\COMPASS\DLG_F4_BD_A3-03.xy</t>
  </si>
  <si>
    <t>X:\d3y093 Mark Bowden\User Projects\Kenton Rod\2026\COMPASS\DLG_F4_BD_B1-04.xy</t>
  </si>
  <si>
    <t>X:\d3y093 Mark Bowden\User Projects\Kenton Rod\2026\COMPASS\DLG_F4_BD_B2-05.xy</t>
  </si>
  <si>
    <t>X:\d3y093 Mark Bowden\User Projects\Kenton Rod\2026\COMPASS\DLG_F4_BD_B3-06.xy</t>
  </si>
  <si>
    <t>X:\d3y093 Mark Bowden\User Projects\Kenton Rod\2026\COMPASS\DLG_R1_BD_A1-07.xy</t>
  </si>
  <si>
    <t>X:\d3y093 Mark Bowden\User Projects\Kenton Rod\2026\COMPASS\DLG_R1_BD_A2-08.xy</t>
  </si>
  <si>
    <t>X:\d3y093 Mark Bowden\User Projects\Kenton Rod\2026\COMPASS\DLG_R1_BD_A3-09.xy</t>
  </si>
  <si>
    <t>X:\d3y093 Mark Bowden\User Projects\Kenton Rod\2026\COMPASS\DLG_R1_BD_B-1-01.xy</t>
  </si>
  <si>
    <t>X:\d3y093 Mark Bowden\User Projects\Kenton Rod\2026\COMPASS\DLG_R1_BD_B-2-02.xy</t>
  </si>
  <si>
    <t>X:\d3y093 Mark Bowden\User Projects\Kenton Rod\2026\COMPASS\DLG_R1_BD_B-3-03.xy</t>
  </si>
  <si>
    <t>X:\d3y093 Mark Bowden\User Projects\Kenton Rod\2026\COMPASS\DLG_R2_BD_A-1-04.xy</t>
  </si>
  <si>
    <t>X:\d3y093 Mark Bowden\User Projects\Kenton Rod\2026\COMPASS\DLG_R2_BD_A-2-05.xy</t>
  </si>
  <si>
    <t>X:\d3y093 Mark Bowden\User Projects\Kenton Rod\2026\COMPASS\DLG_R2_BD_A-3-06.xy</t>
  </si>
  <si>
    <t>X:\d3y093 Mark Bowden\User Projects\Kenton Rod\2026\COMPASS\DLG_R2_BD_B-1-07.xy</t>
  </si>
  <si>
    <t>X:\d3y093 Mark Bowden\User Projects\Kenton Rod\2026\COMPASS\DLG_R2_BD_B-2-08.xy</t>
  </si>
  <si>
    <t>X:\d3y093 Mark Bowden\User Projects\Kenton Rod\2026\COMPASS\DLG_R2_BD_B-3-09.xy</t>
  </si>
  <si>
    <t>Crystallinity</t>
  </si>
  <si>
    <t>DLG_F1_BD_A1-04</t>
  </si>
  <si>
    <t>DLG_F1_BD_A2-05</t>
  </si>
  <si>
    <t>DLG_F1_BD_A3-06</t>
  </si>
  <si>
    <t>DLG_F1_BD_B1-07</t>
  </si>
  <si>
    <t>DLG_F1_BD_B2-08</t>
  </si>
  <si>
    <t>DLG_F1_BD_B3-09</t>
  </si>
  <si>
    <t>DLG_F2_BD_A1-01</t>
  </si>
  <si>
    <t>DLG_F2_BD_A2-02</t>
  </si>
  <si>
    <t>DLG_F2_BD_A3-03</t>
  </si>
  <si>
    <t>DLG_F2_BD_B1-01</t>
  </si>
  <si>
    <t>DLG_F2_BD_B2-02</t>
  </si>
  <si>
    <t>DLG_F2_BD_B3-03</t>
  </si>
  <si>
    <t>DLG_F3_BD_A1-04</t>
  </si>
  <si>
    <t>DLG_F3_BD_A2-05</t>
  </si>
  <si>
    <t>DLG_F3_BD_A3-06</t>
  </si>
  <si>
    <t>DLG_F3_BD_B1-07</t>
  </si>
  <si>
    <t>DLG_F3_BD_B2-08</t>
  </si>
  <si>
    <t>DLG_F3_BD_B3-09</t>
  </si>
  <si>
    <t>DLG_F4_BD_A1-01</t>
  </si>
  <si>
    <t>DLG_F4_BD_A2-02</t>
  </si>
  <si>
    <t>DLG_F4_BD_A3-03</t>
  </si>
  <si>
    <t>DLG_F4_BD_B1-04</t>
  </si>
  <si>
    <t>DLG_F4_BD_B2-05</t>
  </si>
  <si>
    <t>DLG_F4_BD_B3-06</t>
  </si>
  <si>
    <t>DLG_R1_BD_A1-07</t>
  </si>
  <si>
    <t>DLG_R1_BD_A2-08</t>
  </si>
  <si>
    <t>DLG_R1_BD_A3-09</t>
  </si>
  <si>
    <t>DLG_R1_BD_B-1-01</t>
  </si>
  <si>
    <t>DLG_R1_BD_B-2-02</t>
  </si>
  <si>
    <t>DLG_R1_BD_B-3-03</t>
  </si>
  <si>
    <t>DLG_R2_BD_A-1-04</t>
  </si>
  <si>
    <t>DLG_R2_BD_A-2-05</t>
  </si>
  <si>
    <t>DLG_R2_BD_A-3-06</t>
  </si>
  <si>
    <t>DLG_R2_BD_B-1-07</t>
  </si>
  <si>
    <t>DLG_R2_BD_B-2-08</t>
  </si>
  <si>
    <t>DLG_R2_BD_B-3-09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</si>
</sst>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gt;=0.1]0%;[&lt;0.1]0.0%"/>
    <numFmt numFmtId="165" formatCode="\±0.0%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1" fontId="0" fillId="0" borderId="0" xfId="0" applyNumberFormat="1"/>
    <xf numFmtId="164" fontId="0" fillId="2" borderId="0" xfId="1" applyNumberFormat="1" applyFont="1" applyFill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7" borderId="0" xfId="1" applyNumberFormat="1" applyFont="1" applyFill="1"/>
    <xf numFmtId="165" fontId="0" fillId="3" borderId="0" xfId="1" applyNumberFormat="1" applyFont="1" applyFill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5" fontId="0" fillId="4" borderId="0" xfId="1" applyNumberFormat="1" applyFont="1" applyFill="1" applyAlignment="1">
      <alignment horizontal="center"/>
    </xf>
    <xf numFmtId="165" fontId="0" fillId="5" borderId="0" xfId="1" applyNumberFormat="1" applyFont="1" applyFill="1" applyAlignment="1">
      <alignment horizontal="center"/>
    </xf>
    <xf numFmtId="165" fontId="0" fillId="6" borderId="0" xfId="1" applyNumberFormat="1" applyFont="1" applyFill="1" applyAlignment="1">
      <alignment horizontal="center"/>
    </xf>
    <xf numFmtId="165" fontId="0" fillId="7" borderId="0" xfId="1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/>
    <xf numFmtId="0" fontId="2" fillId="13" borderId="0" xfId="0" applyFont="1" applyFill="1"/>
    <xf numFmtId="0" fontId="2" fillId="8" borderId="0" xfId="0" applyFont="1" applyFill="1"/>
    <xf numFmtId="164" fontId="0" fillId="14" borderId="0" xfId="1" applyNumberFormat="1" applyFont="1" applyFill="1"/>
    <xf numFmtId="165" fontId="0" fillId="14" borderId="0" xfId="1" applyNumberFormat="1" applyFont="1" applyFill="1" applyAlignment="1">
      <alignment horizontal="center"/>
    </xf>
    <xf numFmtId="0" fontId="2" fillId="11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Sheet2!$B$1</c:f>
              <c:strCache>
                <c:ptCount val="1"/>
                <c:pt idx="0">
                  <c:v>Quartz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Sheet2!$A$2:$A$37</c:f>
              <c:strCache>
                <c:ptCount val="36"/>
                <c:pt idx="0">
                  <c:v>DLG_F1_BD_A1-04</c:v>
                </c:pt>
                <c:pt idx="1">
                  <c:v>DLG_F1_BD_A2-05</c:v>
                </c:pt>
                <c:pt idx="2">
                  <c:v>DLG_F1_BD_A3-06</c:v>
                </c:pt>
                <c:pt idx="3">
                  <c:v>DLG_F1_BD_B1-07</c:v>
                </c:pt>
                <c:pt idx="4">
                  <c:v>DLG_F1_BD_B2-08</c:v>
                </c:pt>
                <c:pt idx="5">
                  <c:v>DLG_F1_BD_B3-09</c:v>
                </c:pt>
                <c:pt idx="6">
                  <c:v>DLG_F2_BD_A1-01</c:v>
                </c:pt>
                <c:pt idx="7">
                  <c:v>DLG_F2_BD_A2-02</c:v>
                </c:pt>
                <c:pt idx="8">
                  <c:v>DLG_F2_BD_A3-03</c:v>
                </c:pt>
                <c:pt idx="9">
                  <c:v>DLG_F2_BD_B1-01</c:v>
                </c:pt>
                <c:pt idx="10">
                  <c:v>DLG_F2_BD_B2-02</c:v>
                </c:pt>
                <c:pt idx="11">
                  <c:v>DLG_F2_BD_B3-03</c:v>
                </c:pt>
                <c:pt idx="12">
                  <c:v>DLG_F3_BD_A1-04</c:v>
                </c:pt>
                <c:pt idx="13">
                  <c:v>DLG_F3_BD_A2-05</c:v>
                </c:pt>
                <c:pt idx="14">
                  <c:v>DLG_F3_BD_A3-06</c:v>
                </c:pt>
                <c:pt idx="15">
                  <c:v>DLG_F3_BD_B1-07</c:v>
                </c:pt>
                <c:pt idx="16">
                  <c:v>DLG_F3_BD_B2-08</c:v>
                </c:pt>
                <c:pt idx="17">
                  <c:v>DLG_F3_BD_B3-09</c:v>
                </c:pt>
                <c:pt idx="18">
                  <c:v>DLG_F4_BD_A1-01</c:v>
                </c:pt>
                <c:pt idx="19">
                  <c:v>DLG_F4_BD_A2-02</c:v>
                </c:pt>
                <c:pt idx="20">
                  <c:v>DLG_F4_BD_A3-03</c:v>
                </c:pt>
                <c:pt idx="21">
                  <c:v>DLG_F4_BD_B1-04</c:v>
                </c:pt>
                <c:pt idx="22">
                  <c:v>DLG_F4_BD_B2-05</c:v>
                </c:pt>
                <c:pt idx="23">
                  <c:v>DLG_F4_BD_B3-06</c:v>
                </c:pt>
                <c:pt idx="24">
                  <c:v>DLG_R1_BD_A1-07</c:v>
                </c:pt>
                <c:pt idx="25">
                  <c:v>DLG_R1_BD_A2-08</c:v>
                </c:pt>
                <c:pt idx="26">
                  <c:v>DLG_R1_BD_A3-09</c:v>
                </c:pt>
                <c:pt idx="27">
                  <c:v>DLG_R1_BD_B-1-01</c:v>
                </c:pt>
                <c:pt idx="28">
                  <c:v>DLG_R1_BD_B-2-02</c:v>
                </c:pt>
                <c:pt idx="29">
                  <c:v>DLG_R1_BD_B-3-03</c:v>
                </c:pt>
                <c:pt idx="30">
                  <c:v>DLG_R2_BD_A-1-04</c:v>
                </c:pt>
                <c:pt idx="31">
                  <c:v>DLG_R2_BD_A-2-05</c:v>
                </c:pt>
                <c:pt idx="32">
                  <c:v>DLG_R2_BD_A-3-06</c:v>
                </c:pt>
                <c:pt idx="33">
                  <c:v>DLG_R2_BD_B-1-07</c:v>
                </c:pt>
                <c:pt idx="34">
                  <c:v>DLG_R2_BD_B-2-08</c:v>
                </c:pt>
                <c:pt idx="35">
                  <c:v>DLG_R2_BD_B-3-09</c:v>
                </c:pt>
              </c:strCache>
            </c:strRef>
          </c:cat>
          <c:val>
            <c:numRef>
              <c:f>Sheet2!$B$2:$B$37</c:f>
              <c:numCache>
                <c:formatCode>[&gt;=0.1]0%;[&lt;0.1]0.0%</c:formatCode>
                <c:ptCount val="36"/>
                <c:pt idx="0">
                  <c:v>0.46539999999999998</c:v>
                </c:pt>
                <c:pt idx="1">
                  <c:v>0.41881000000000002</c:v>
                </c:pt>
                <c:pt idx="2">
                  <c:v>0.4375</c:v>
                </c:pt>
                <c:pt idx="3">
                  <c:v>0.46103</c:v>
                </c:pt>
                <c:pt idx="4">
                  <c:v>0.41972000000000004</c:v>
                </c:pt>
                <c:pt idx="5">
                  <c:v>0.45779000000000003</c:v>
                </c:pt>
                <c:pt idx="6">
                  <c:v>0.43615999999999999</c:v>
                </c:pt>
                <c:pt idx="7">
                  <c:v>0.44744999999999996</c:v>
                </c:pt>
                <c:pt idx="8">
                  <c:v>0.43534</c:v>
                </c:pt>
                <c:pt idx="9">
                  <c:v>0.41555999999999998</c:v>
                </c:pt>
                <c:pt idx="10">
                  <c:v>0.43756</c:v>
                </c:pt>
                <c:pt idx="11">
                  <c:v>0.42355999999999999</c:v>
                </c:pt>
                <c:pt idx="12">
                  <c:v>0.50222999999999995</c:v>
                </c:pt>
                <c:pt idx="13">
                  <c:v>0.52005000000000001</c:v>
                </c:pt>
                <c:pt idx="14">
                  <c:v>0.48671999999999999</c:v>
                </c:pt>
                <c:pt idx="15">
                  <c:v>0.50383999999999995</c:v>
                </c:pt>
                <c:pt idx="16">
                  <c:v>0.51083000000000001</c:v>
                </c:pt>
                <c:pt idx="17">
                  <c:v>0.50392999999999999</c:v>
                </c:pt>
                <c:pt idx="18">
                  <c:v>0.60253000000000001</c:v>
                </c:pt>
                <c:pt idx="19">
                  <c:v>0.64742999999999995</c:v>
                </c:pt>
                <c:pt idx="20">
                  <c:v>0.59530000000000005</c:v>
                </c:pt>
                <c:pt idx="21">
                  <c:v>0.60191000000000006</c:v>
                </c:pt>
                <c:pt idx="22">
                  <c:v>0.65561999999999998</c:v>
                </c:pt>
                <c:pt idx="23">
                  <c:v>0.59386000000000005</c:v>
                </c:pt>
                <c:pt idx="24">
                  <c:v>0.45905000000000001</c:v>
                </c:pt>
                <c:pt idx="25">
                  <c:v>0.44344</c:v>
                </c:pt>
                <c:pt idx="26">
                  <c:v>0.42845</c:v>
                </c:pt>
                <c:pt idx="27">
                  <c:v>0.46962000000000004</c:v>
                </c:pt>
                <c:pt idx="28">
                  <c:v>0.46426000000000001</c:v>
                </c:pt>
                <c:pt idx="29">
                  <c:v>0.40392000000000006</c:v>
                </c:pt>
                <c:pt idx="30">
                  <c:v>0.47189999999999999</c:v>
                </c:pt>
                <c:pt idx="31">
                  <c:v>0.46100000000000002</c:v>
                </c:pt>
                <c:pt idx="32">
                  <c:v>0.49942999999999999</c:v>
                </c:pt>
                <c:pt idx="33">
                  <c:v>0.45167000000000002</c:v>
                </c:pt>
                <c:pt idx="34">
                  <c:v>0.4647</c:v>
                </c:pt>
                <c:pt idx="35">
                  <c:v>0.48287999999999998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9E-4AEB-A1E5-4EA42EE47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5"/>
        <c:axId val="1330272544"/>
        <c:axId val="1330297504"/>
      </c:barChart>
      <c:catAx>
        <c:axId val="133027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97504"/>
        <c:crosses val="autoZero"/>
        <c:auto val="1"/>
        <c:lblAlgn val="ctr"/>
        <c:lblOffset val="100"/>
        <c:noMultiLvlLbl val="0"/>
      </c:catAx>
      <c:valAx>
        <c:axId val="133029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0.1]0%;[&lt;0.1]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Sheet2!$H$1</c:f>
              <c:strCache>
                <c:ptCount val="1"/>
                <c:pt idx="0">
                  <c:v>Mica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Sheet2!$A$2:$A$37</c:f>
              <c:strCache>
                <c:ptCount val="36"/>
                <c:pt idx="0">
                  <c:v>DLG_F1_BD_A1-04</c:v>
                </c:pt>
                <c:pt idx="1">
                  <c:v>DLG_F1_BD_A2-05</c:v>
                </c:pt>
                <c:pt idx="2">
                  <c:v>DLG_F1_BD_A3-06</c:v>
                </c:pt>
                <c:pt idx="3">
                  <c:v>DLG_F1_BD_B1-07</c:v>
                </c:pt>
                <c:pt idx="4">
                  <c:v>DLG_F1_BD_B2-08</c:v>
                </c:pt>
                <c:pt idx="5">
                  <c:v>DLG_F1_BD_B3-09</c:v>
                </c:pt>
                <c:pt idx="6">
                  <c:v>DLG_F2_BD_A1-01</c:v>
                </c:pt>
                <c:pt idx="7">
                  <c:v>DLG_F2_BD_A2-02</c:v>
                </c:pt>
                <c:pt idx="8">
                  <c:v>DLG_F2_BD_A3-03</c:v>
                </c:pt>
                <c:pt idx="9">
                  <c:v>DLG_F2_BD_B1-01</c:v>
                </c:pt>
                <c:pt idx="10">
                  <c:v>DLG_F2_BD_B2-02</c:v>
                </c:pt>
                <c:pt idx="11">
                  <c:v>DLG_F2_BD_B3-03</c:v>
                </c:pt>
                <c:pt idx="12">
                  <c:v>DLG_F3_BD_A1-04</c:v>
                </c:pt>
                <c:pt idx="13">
                  <c:v>DLG_F3_BD_A2-05</c:v>
                </c:pt>
                <c:pt idx="14">
                  <c:v>DLG_F3_BD_A3-06</c:v>
                </c:pt>
                <c:pt idx="15">
                  <c:v>DLG_F3_BD_B1-07</c:v>
                </c:pt>
                <c:pt idx="16">
                  <c:v>DLG_F3_BD_B2-08</c:v>
                </c:pt>
                <c:pt idx="17">
                  <c:v>DLG_F3_BD_B3-09</c:v>
                </c:pt>
                <c:pt idx="18">
                  <c:v>DLG_F4_BD_A1-01</c:v>
                </c:pt>
                <c:pt idx="19">
                  <c:v>DLG_F4_BD_A2-02</c:v>
                </c:pt>
                <c:pt idx="20">
                  <c:v>DLG_F4_BD_A3-03</c:v>
                </c:pt>
                <c:pt idx="21">
                  <c:v>DLG_F4_BD_B1-04</c:v>
                </c:pt>
                <c:pt idx="22">
                  <c:v>DLG_F4_BD_B2-05</c:v>
                </c:pt>
                <c:pt idx="23">
                  <c:v>DLG_F4_BD_B3-06</c:v>
                </c:pt>
                <c:pt idx="24">
                  <c:v>DLG_R1_BD_A1-07</c:v>
                </c:pt>
                <c:pt idx="25">
                  <c:v>DLG_R1_BD_A2-08</c:v>
                </c:pt>
                <c:pt idx="26">
                  <c:v>DLG_R1_BD_A3-09</c:v>
                </c:pt>
                <c:pt idx="27">
                  <c:v>DLG_R1_BD_B-1-01</c:v>
                </c:pt>
                <c:pt idx="28">
                  <c:v>DLG_R1_BD_B-2-02</c:v>
                </c:pt>
                <c:pt idx="29">
                  <c:v>DLG_R1_BD_B-3-03</c:v>
                </c:pt>
                <c:pt idx="30">
                  <c:v>DLG_R2_BD_A-1-04</c:v>
                </c:pt>
                <c:pt idx="31">
                  <c:v>DLG_R2_BD_A-2-05</c:v>
                </c:pt>
                <c:pt idx="32">
                  <c:v>DLG_R2_BD_A-3-06</c:v>
                </c:pt>
                <c:pt idx="33">
                  <c:v>DLG_R2_BD_B-1-07</c:v>
                </c:pt>
                <c:pt idx="34">
                  <c:v>DLG_R2_BD_B-2-08</c:v>
                </c:pt>
                <c:pt idx="35">
                  <c:v>DLG_R2_BD_B-3-09</c:v>
                </c:pt>
              </c:strCache>
            </c:strRef>
          </c:cat>
          <c:val>
            <c:numRef>
              <c:f>Sheet2!$H$2:$H$37</c:f>
              <c:numCache>
                <c:formatCode>[&gt;=0.1]0%;[&lt;0.1]0.0%</c:formatCode>
                <c:ptCount val="36"/>
                <c:pt idx="0">
                  <c:v>0.30226999999999998</c:v>
                </c:pt>
                <c:pt idx="1">
                  <c:v>0.37749000000000005</c:v>
                </c:pt>
                <c:pt idx="2">
                  <c:v>0.3332</c:v>
                </c:pt>
                <c:pt idx="3">
                  <c:v>0.34045000000000003</c:v>
                </c:pt>
                <c:pt idx="4">
                  <c:v>0.36701</c:v>
                </c:pt>
                <c:pt idx="5">
                  <c:v>0.29527000000000003</c:v>
                </c:pt>
                <c:pt idx="6">
                  <c:v>0.34185000000000004</c:v>
                </c:pt>
                <c:pt idx="7">
                  <c:v>0.32058999999999999</c:v>
                </c:pt>
                <c:pt idx="8">
                  <c:v>0.33698999999999996</c:v>
                </c:pt>
                <c:pt idx="9">
                  <c:v>0.31034</c:v>
                </c:pt>
                <c:pt idx="10">
                  <c:v>0.31309999999999999</c:v>
                </c:pt>
                <c:pt idx="11">
                  <c:v>0.34249000000000002</c:v>
                </c:pt>
                <c:pt idx="12">
                  <c:v>0.26</c:v>
                </c:pt>
                <c:pt idx="13">
                  <c:v>0.23322999999999999</c:v>
                </c:pt>
                <c:pt idx="14">
                  <c:v>0.26338</c:v>
                </c:pt>
                <c:pt idx="15">
                  <c:v>0.22999</c:v>
                </c:pt>
                <c:pt idx="16">
                  <c:v>0.22149999999999997</c:v>
                </c:pt>
                <c:pt idx="17">
                  <c:v>0.22403999999999999</c:v>
                </c:pt>
                <c:pt idx="18">
                  <c:v>0.15689999999999998</c:v>
                </c:pt>
                <c:pt idx="19">
                  <c:v>0.13519999999999999</c:v>
                </c:pt>
                <c:pt idx="20">
                  <c:v>0.18222000000000002</c:v>
                </c:pt>
                <c:pt idx="21">
                  <c:v>0.15454999999999999</c:v>
                </c:pt>
                <c:pt idx="22">
                  <c:v>0.13292999999999999</c:v>
                </c:pt>
                <c:pt idx="23">
                  <c:v>0.16586999999999999</c:v>
                </c:pt>
                <c:pt idx="24">
                  <c:v>0.31888</c:v>
                </c:pt>
                <c:pt idx="25">
                  <c:v>0.32302999999999998</c:v>
                </c:pt>
                <c:pt idx="26">
                  <c:v>0.32662999999999998</c:v>
                </c:pt>
                <c:pt idx="27">
                  <c:v>0.29087000000000002</c:v>
                </c:pt>
                <c:pt idx="28">
                  <c:v>0.30307000000000001</c:v>
                </c:pt>
                <c:pt idx="29">
                  <c:v>0.34429999999999999</c:v>
                </c:pt>
                <c:pt idx="30">
                  <c:v>0.27848000000000001</c:v>
                </c:pt>
                <c:pt idx="31">
                  <c:v>0.28039999999999998</c:v>
                </c:pt>
                <c:pt idx="32">
                  <c:v>0.25944</c:v>
                </c:pt>
                <c:pt idx="33">
                  <c:v>0.30967</c:v>
                </c:pt>
                <c:pt idx="34">
                  <c:v>0.29250999999999999</c:v>
                </c:pt>
                <c:pt idx="35">
                  <c:v>0.28920999999999997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A-4162-8CC9-863E8110B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5"/>
        <c:axId val="1330272544"/>
        <c:axId val="1330297504"/>
      </c:barChart>
      <c:catAx>
        <c:axId val="133027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97504"/>
        <c:crosses val="autoZero"/>
        <c:auto val="1"/>
        <c:lblAlgn val="ctr"/>
        <c:lblOffset val="100"/>
        <c:noMultiLvlLbl val="0"/>
      </c:catAx>
      <c:valAx>
        <c:axId val="133029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0.1]0%;[&lt;0.1]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196851</xdr:colOff>
      <xdr:row>1</xdr:row>
      <xdr:rowOff>163512</xdr:rowOff>
    </xdr:from>
    <xdr:to>
      <xdr:col>34</xdr:col>
      <xdr:colOff>482601</xdr:colOff>
      <xdr:row>31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BC72D8-57D4-47B8-864E-0340B438F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600075</xdr:colOff>
      <xdr:row>32</xdr:row>
      <xdr:rowOff>47625</xdr:rowOff>
    </xdr:from>
    <xdr:to>
      <xdr:col>34</xdr:col>
      <xdr:colOff>276225</xdr:colOff>
      <xdr:row>62</xdr:row>
      <xdr:rowOff>65088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D30A35-A4FD-4EC4-909D-7D933B96E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35A2-7378-44DA-8114-6654B4E285B8}">
  <sheetPr codeName="Sheet1"/>
  <dimension ref="A1:W187"/>
  <sheetViews>
    <sheetView workbookViewId="0">
      <pane xSplit="1" ySplit="1" topLeftCell="B2" activePane="bottomRight" state="frozen"/>
      <selection pane="bottomRight"/>
      <selection pane="bottomLeft" activeCell="A2" sqref="A2"/>
      <selection pane="topRight" activeCell="B1" sqref="B1"/>
    </sheetView>
  </sheetViews>
  <sheetFormatPr defaultRowHeight="15"/>
  <sheetData>
    <row r="1" spans="1:23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8</v>
      </c>
    </row>
    <row r="2" spans="1:23">
      <c r="A2" t="s">
        <v>9</v>
      </c>
      <c r="B2" s="1">
        <v>46.54</v>
      </c>
      <c r="C2" s="1">
        <v>0.30709999999999998</v>
      </c>
      <c r="D2" s="1">
        <v>10.802</v>
      </c>
      <c r="E2" s="1">
        <v>0.2495</v>
      </c>
      <c r="F2" s="1">
        <v>8.7789999999999999</v>
      </c>
      <c r="G2" s="1">
        <v>0.28310000000000002</v>
      </c>
      <c r="H2" s="1">
        <v>30.227</v>
      </c>
      <c r="I2" s="1">
        <v>0.34379999999999999</v>
      </c>
      <c r="J2" s="1">
        <v>0.51</v>
      </c>
      <c r="K2" s="1">
        <v>9.8400000000000001E-2</v>
      </c>
      <c r="L2" s="1">
        <v>3.1419999999999999</v>
      </c>
      <c r="M2" s="1">
        <v>0.1754</v>
      </c>
      <c r="N2" s="1">
        <v>1.2E-2</v>
      </c>
      <c r="O2" s="1">
        <v>0</v>
      </c>
      <c r="P2" s="1">
        <v>5.0659999999999998</v>
      </c>
      <c r="Q2" s="1"/>
      <c r="R2" s="1"/>
      <c r="S2" s="1"/>
      <c r="T2" s="1"/>
      <c r="U2" s="1"/>
      <c r="V2" s="1"/>
      <c r="W2" s="1"/>
    </row>
    <row r="3" spans="1:23">
      <c r="A3" t="s">
        <v>10</v>
      </c>
      <c r="B3" s="1">
        <v>41.881</v>
      </c>
      <c r="C3" s="1">
        <v>0.3019</v>
      </c>
      <c r="D3" s="1">
        <v>7.2510000000000003</v>
      </c>
      <c r="E3" s="1">
        <v>0.24260000000000001</v>
      </c>
      <c r="F3" s="1">
        <v>8.4390000000000001</v>
      </c>
      <c r="G3" s="1">
        <v>0.32119999999999999</v>
      </c>
      <c r="H3" s="1">
        <v>37.749000000000002</v>
      </c>
      <c r="I3" s="1">
        <v>0.36180000000000001</v>
      </c>
      <c r="J3" s="1">
        <v>0.42699999999999999</v>
      </c>
      <c r="K3" s="1">
        <v>0.1084</v>
      </c>
      <c r="L3" s="1">
        <v>4.2530000000000001</v>
      </c>
      <c r="M3" s="1">
        <v>0.19239999999999999</v>
      </c>
      <c r="N3" s="1">
        <v>0.01</v>
      </c>
      <c r="O3" s="1">
        <v>0</v>
      </c>
      <c r="P3" s="1">
        <v>4.9139999999999997</v>
      </c>
      <c r="Q3" s="1"/>
      <c r="R3" s="1"/>
      <c r="S3" s="1"/>
      <c r="T3" s="1"/>
      <c r="U3" s="1"/>
      <c r="V3" s="1"/>
      <c r="W3" s="1"/>
    </row>
    <row r="4" spans="1:23">
      <c r="A4" t="s">
        <v>11</v>
      </c>
      <c r="B4" s="1">
        <v>43.75</v>
      </c>
      <c r="C4" s="1">
        <v>0.2848</v>
      </c>
      <c r="D4" s="1">
        <v>9.3919999999999995</v>
      </c>
      <c r="E4" s="1">
        <v>0.2303</v>
      </c>
      <c r="F4" s="1">
        <v>9.4510000000000005</v>
      </c>
      <c r="G4" s="1">
        <v>0.29459999999999997</v>
      </c>
      <c r="H4" s="1">
        <v>33.32</v>
      </c>
      <c r="I4" s="1">
        <v>0.33040000000000003</v>
      </c>
      <c r="J4" s="1">
        <v>0.52200000000000002</v>
      </c>
      <c r="K4" s="1">
        <v>9.74E-2</v>
      </c>
      <c r="L4" s="1">
        <v>3.5659999999999998</v>
      </c>
      <c r="M4" s="1">
        <v>0.17249999999999999</v>
      </c>
      <c r="N4" s="1">
        <v>1.0999999999999999E-2</v>
      </c>
      <c r="O4" s="1">
        <v>0</v>
      </c>
      <c r="P4" s="1">
        <v>4.7779999999999996</v>
      </c>
      <c r="Q4" s="1"/>
      <c r="R4" s="1"/>
      <c r="S4" s="1"/>
      <c r="T4" s="1"/>
      <c r="U4" s="1"/>
      <c r="V4" s="1"/>
      <c r="W4" s="1"/>
    </row>
    <row r="5" spans="1:23">
      <c r="A5" t="s">
        <v>12</v>
      </c>
      <c r="B5" s="1">
        <v>46.103000000000002</v>
      </c>
      <c r="C5" s="1">
        <v>0.31919999999999998</v>
      </c>
      <c r="D5" s="1">
        <v>8.2650000000000006</v>
      </c>
      <c r="E5" s="1">
        <v>0.2339</v>
      </c>
      <c r="F5" s="1">
        <v>7.7910000000000004</v>
      </c>
      <c r="G5" s="1">
        <v>0.30530000000000002</v>
      </c>
      <c r="H5" s="1">
        <v>34.045000000000002</v>
      </c>
      <c r="I5" s="1">
        <v>0.35870000000000002</v>
      </c>
      <c r="J5" s="1">
        <v>0.67600000000000005</v>
      </c>
      <c r="K5" s="1">
        <v>0.108</v>
      </c>
      <c r="L5" s="1">
        <v>3.121</v>
      </c>
      <c r="M5" s="1">
        <v>0.18970000000000001</v>
      </c>
      <c r="N5" s="1">
        <v>1.0999999999999999E-2</v>
      </c>
      <c r="O5" s="1">
        <v>0</v>
      </c>
      <c r="P5" s="1">
        <v>4.7329999999999997</v>
      </c>
      <c r="Q5" s="1"/>
      <c r="R5" s="1"/>
      <c r="S5" s="1"/>
      <c r="U5" s="1"/>
      <c r="V5" s="1"/>
      <c r="W5" s="1"/>
    </row>
    <row r="6" spans="1:23">
      <c r="A6" t="s">
        <v>13</v>
      </c>
      <c r="B6" s="1">
        <v>41.972000000000001</v>
      </c>
      <c r="C6" s="1">
        <v>0.30170000000000002</v>
      </c>
      <c r="D6" s="1">
        <v>7.3470000000000004</v>
      </c>
      <c r="E6" s="1">
        <v>0.2298</v>
      </c>
      <c r="F6" s="1">
        <v>9.1010000000000009</v>
      </c>
      <c r="G6" s="1">
        <v>0.32029999999999997</v>
      </c>
      <c r="H6" s="1">
        <v>36.701000000000001</v>
      </c>
      <c r="I6" s="1">
        <v>0.36420000000000002</v>
      </c>
      <c r="J6" s="1">
        <v>0.623</v>
      </c>
      <c r="K6" s="1">
        <v>0.1081</v>
      </c>
      <c r="L6" s="1">
        <v>4.2569999999999997</v>
      </c>
      <c r="M6" s="1">
        <v>0.19209999999999999</v>
      </c>
      <c r="N6" s="1">
        <v>0.01</v>
      </c>
      <c r="O6" s="1">
        <v>0</v>
      </c>
      <c r="P6" s="1">
        <v>4.5599999999999996</v>
      </c>
      <c r="Q6" s="1"/>
      <c r="R6" s="1"/>
      <c r="S6" s="1"/>
      <c r="T6" s="1"/>
      <c r="U6" s="1"/>
      <c r="V6" s="1"/>
      <c r="W6" s="1"/>
    </row>
    <row r="7" spans="1:23">
      <c r="A7" t="s">
        <v>14</v>
      </c>
      <c r="B7" s="1">
        <v>45.779000000000003</v>
      </c>
      <c r="C7" s="1">
        <v>0.28889999999999999</v>
      </c>
      <c r="D7" s="1">
        <v>11.146000000000001</v>
      </c>
      <c r="E7" s="1">
        <v>0.2233</v>
      </c>
      <c r="F7" s="1">
        <v>9.8010000000000002</v>
      </c>
      <c r="G7" s="1">
        <v>0.29210000000000003</v>
      </c>
      <c r="H7" s="1">
        <v>29.527000000000001</v>
      </c>
      <c r="I7" s="1">
        <v>0.3261</v>
      </c>
      <c r="J7" s="1">
        <v>0.496</v>
      </c>
      <c r="K7" s="1">
        <v>9.3600000000000003E-2</v>
      </c>
      <c r="L7" s="1">
        <v>3.25</v>
      </c>
      <c r="M7" s="1">
        <v>0.16619999999999999</v>
      </c>
      <c r="N7" s="1">
        <v>1.2999999999999999E-2</v>
      </c>
      <c r="O7" s="1">
        <v>0</v>
      </c>
      <c r="P7" s="1">
        <v>4.6529999999999996</v>
      </c>
      <c r="Q7" s="1"/>
      <c r="R7" s="1"/>
      <c r="S7" s="1"/>
      <c r="T7" s="1"/>
      <c r="U7" s="1"/>
      <c r="V7" s="1"/>
      <c r="W7" s="1"/>
    </row>
    <row r="8" spans="1:23">
      <c r="A8" t="s">
        <v>15</v>
      </c>
      <c r="B8" s="1">
        <v>43.616</v>
      </c>
      <c r="C8" s="1">
        <v>0.30359999999999998</v>
      </c>
      <c r="D8" s="1">
        <v>7.4560000000000004</v>
      </c>
      <c r="E8" s="1">
        <v>0.2233</v>
      </c>
      <c r="F8" s="1">
        <v>10.563000000000001</v>
      </c>
      <c r="G8" s="1">
        <v>0.33429999999999999</v>
      </c>
      <c r="H8" s="1">
        <v>34.185000000000002</v>
      </c>
      <c r="I8" s="1">
        <v>0.3503</v>
      </c>
      <c r="J8" s="1">
        <v>0.505</v>
      </c>
      <c r="K8" s="1">
        <v>0.1046</v>
      </c>
      <c r="L8" s="1">
        <v>3.6749999999999998</v>
      </c>
      <c r="M8" s="1">
        <v>0.18559999999999999</v>
      </c>
      <c r="N8" s="1">
        <v>1.2E-2</v>
      </c>
      <c r="O8" s="1">
        <v>0</v>
      </c>
      <c r="P8" s="1">
        <v>4.891</v>
      </c>
      <c r="Q8" s="1"/>
      <c r="R8" s="1"/>
      <c r="S8" s="1"/>
      <c r="T8" s="1"/>
      <c r="U8" s="1"/>
      <c r="V8" s="1"/>
      <c r="W8" s="1"/>
    </row>
    <row r="9" spans="1:23">
      <c r="A9" t="s">
        <v>16</v>
      </c>
      <c r="B9" s="1">
        <v>44.744999999999997</v>
      </c>
      <c r="C9" s="1">
        <v>0.2964</v>
      </c>
      <c r="D9" s="1">
        <v>9.4640000000000004</v>
      </c>
      <c r="E9" s="1">
        <v>0.23499999999999999</v>
      </c>
      <c r="F9" s="1">
        <v>9.0540000000000003</v>
      </c>
      <c r="G9" s="1">
        <v>0.29530000000000001</v>
      </c>
      <c r="H9" s="1">
        <v>32.058999999999997</v>
      </c>
      <c r="I9" s="1">
        <v>0.34110000000000001</v>
      </c>
      <c r="J9" s="1">
        <v>0.51700000000000002</v>
      </c>
      <c r="K9" s="1">
        <v>9.7799999999999998E-2</v>
      </c>
      <c r="L9" s="1">
        <v>4.1619999999999999</v>
      </c>
      <c r="M9" s="1">
        <v>0.17680000000000001</v>
      </c>
      <c r="N9" s="1">
        <v>1.2E-2</v>
      </c>
      <c r="O9" s="1">
        <v>0</v>
      </c>
      <c r="P9" s="1">
        <v>4.8360000000000003</v>
      </c>
      <c r="Q9" s="1"/>
      <c r="R9" s="1"/>
      <c r="S9" s="1"/>
      <c r="T9" s="1"/>
      <c r="U9" s="1"/>
      <c r="V9" s="1"/>
      <c r="W9" s="1"/>
    </row>
    <row r="10" spans="1:23">
      <c r="A10" t="s">
        <v>17</v>
      </c>
      <c r="B10" s="1">
        <v>43.533999999999999</v>
      </c>
      <c r="C10" s="1">
        <v>0.29930000000000001</v>
      </c>
      <c r="D10" s="1">
        <v>7.952</v>
      </c>
      <c r="E10" s="1">
        <v>0.21790000000000001</v>
      </c>
      <c r="F10" s="1">
        <v>10.381</v>
      </c>
      <c r="G10" s="1">
        <v>0.32800000000000001</v>
      </c>
      <c r="H10" s="1">
        <v>33.698999999999998</v>
      </c>
      <c r="I10" s="1">
        <v>0.34760000000000002</v>
      </c>
      <c r="J10" s="1">
        <v>0.58199999999999996</v>
      </c>
      <c r="K10" s="1">
        <v>0.1002</v>
      </c>
      <c r="L10" s="1">
        <v>3.8519999999999999</v>
      </c>
      <c r="M10" s="1">
        <v>0.18240000000000001</v>
      </c>
      <c r="N10" s="1">
        <v>1.2E-2</v>
      </c>
      <c r="O10" s="1">
        <v>0</v>
      </c>
      <c r="P10" s="1">
        <v>4.883</v>
      </c>
      <c r="Q10" s="1"/>
      <c r="R10" s="1"/>
      <c r="S10" s="1"/>
      <c r="T10" s="1"/>
      <c r="U10" s="1"/>
      <c r="V10" s="1"/>
      <c r="W10" s="1"/>
    </row>
    <row r="11" spans="1:23">
      <c r="A11" t="s">
        <v>18</v>
      </c>
      <c r="B11" s="1">
        <v>41.555999999999997</v>
      </c>
      <c r="C11" s="1">
        <v>0.2979</v>
      </c>
      <c r="D11" s="1">
        <v>12.709</v>
      </c>
      <c r="E11" s="1">
        <v>0.2482</v>
      </c>
      <c r="F11" s="1">
        <v>10.48</v>
      </c>
      <c r="G11" s="1">
        <v>0.30580000000000002</v>
      </c>
      <c r="H11" s="1">
        <v>31.033999999999999</v>
      </c>
      <c r="I11" s="1">
        <v>0.37090000000000001</v>
      </c>
      <c r="J11" s="1">
        <v>0.52500000000000002</v>
      </c>
      <c r="K11" s="1">
        <v>0.10589999999999999</v>
      </c>
      <c r="L11" s="1">
        <v>3.6960000000000002</v>
      </c>
      <c r="M11" s="1">
        <v>0.1905</v>
      </c>
      <c r="N11" s="1">
        <v>1.0999999999999999E-2</v>
      </c>
      <c r="O11" s="1">
        <v>0</v>
      </c>
      <c r="P11" s="1">
        <v>5.0830000000000002</v>
      </c>
      <c r="Q11" s="1"/>
      <c r="R11" s="1"/>
      <c r="S11" s="1"/>
      <c r="T11" s="1"/>
      <c r="U11" s="1"/>
      <c r="V11" s="1"/>
      <c r="W11" s="1"/>
    </row>
    <row r="12" spans="1:23">
      <c r="A12" t="s">
        <v>19</v>
      </c>
      <c r="B12" s="1">
        <v>43.756</v>
      </c>
      <c r="C12" s="1">
        <v>0.29930000000000001</v>
      </c>
      <c r="D12" s="1">
        <v>10.222</v>
      </c>
      <c r="E12" s="1">
        <v>0.23419999999999999</v>
      </c>
      <c r="F12" s="1">
        <v>9.8569999999999993</v>
      </c>
      <c r="G12" s="1">
        <v>0.29870000000000002</v>
      </c>
      <c r="H12" s="1">
        <v>31.31</v>
      </c>
      <c r="I12" s="1">
        <v>0.35570000000000002</v>
      </c>
      <c r="J12" s="1">
        <v>0.63700000000000001</v>
      </c>
      <c r="K12" s="1">
        <v>0.10100000000000001</v>
      </c>
      <c r="L12" s="1">
        <v>4.2190000000000003</v>
      </c>
      <c r="M12" s="1">
        <v>0.18290000000000001</v>
      </c>
      <c r="N12" s="1">
        <v>1.2E-2</v>
      </c>
      <c r="O12" s="1">
        <v>0</v>
      </c>
      <c r="P12" s="1">
        <v>5.0730000000000004</v>
      </c>
      <c r="Q12" s="1"/>
      <c r="R12" s="1"/>
      <c r="S12" s="1"/>
      <c r="T12" s="1"/>
      <c r="U12" s="1"/>
      <c r="V12" s="1"/>
      <c r="W12" s="1"/>
    </row>
    <row r="13" spans="1:23">
      <c r="A13" t="s">
        <v>20</v>
      </c>
      <c r="B13" s="1">
        <v>42.356000000000002</v>
      </c>
      <c r="C13" s="1">
        <v>0.29449999999999998</v>
      </c>
      <c r="D13" s="1">
        <v>8.9969999999999999</v>
      </c>
      <c r="E13" s="1">
        <v>0.22500000000000001</v>
      </c>
      <c r="F13" s="1">
        <v>9.4269999999999996</v>
      </c>
      <c r="G13" s="1">
        <v>0.3135</v>
      </c>
      <c r="H13" s="1">
        <v>34.249000000000002</v>
      </c>
      <c r="I13" s="1">
        <v>0.3543</v>
      </c>
      <c r="J13" s="1">
        <v>0.55100000000000005</v>
      </c>
      <c r="K13" s="1">
        <v>9.98E-2</v>
      </c>
      <c r="L13" s="1">
        <v>4.4189999999999996</v>
      </c>
      <c r="M13" s="1">
        <v>0.18529999999999999</v>
      </c>
      <c r="N13" s="1">
        <v>1.2E-2</v>
      </c>
      <c r="O13" s="1">
        <v>0</v>
      </c>
      <c r="P13" s="1">
        <v>4.9950000000000001</v>
      </c>
      <c r="Q13" s="1"/>
      <c r="R13" s="1"/>
      <c r="S13" s="1"/>
      <c r="T13" s="1"/>
      <c r="U13" s="1"/>
      <c r="V13" s="1"/>
      <c r="W13" s="1"/>
    </row>
    <row r="14" spans="1:23">
      <c r="A14" t="s">
        <v>21</v>
      </c>
      <c r="B14" s="1">
        <v>50.222999999999999</v>
      </c>
      <c r="C14" s="1">
        <v>0.28520000000000001</v>
      </c>
      <c r="D14" s="1">
        <v>10.448</v>
      </c>
      <c r="E14" s="1">
        <v>0.20030000000000001</v>
      </c>
      <c r="F14" s="1">
        <v>9.8559999999999999</v>
      </c>
      <c r="G14" s="1">
        <v>0.26819999999999999</v>
      </c>
      <c r="H14" s="1">
        <v>26</v>
      </c>
      <c r="I14" s="1">
        <v>0.30209999999999998</v>
      </c>
      <c r="J14" s="1">
        <v>0.47899999999999998</v>
      </c>
      <c r="K14" s="1">
        <v>8.14E-2</v>
      </c>
      <c r="L14" s="1">
        <v>2.9940000000000002</v>
      </c>
      <c r="M14" s="1">
        <v>0.15160000000000001</v>
      </c>
      <c r="N14" s="1">
        <v>1.4E-2</v>
      </c>
      <c r="O14" s="1">
        <v>0</v>
      </c>
      <c r="P14" s="1">
        <v>4.6399999999999997</v>
      </c>
      <c r="Q14" s="1"/>
      <c r="R14" s="1"/>
      <c r="S14" s="1"/>
      <c r="T14" s="1"/>
      <c r="U14" s="1"/>
      <c r="V14" s="1"/>
      <c r="W14" s="1"/>
    </row>
    <row r="15" spans="1:23">
      <c r="A15" t="s">
        <v>22</v>
      </c>
      <c r="B15" s="1">
        <v>52.005000000000003</v>
      </c>
      <c r="C15" s="1">
        <v>0.28189999999999998</v>
      </c>
      <c r="D15" s="1">
        <v>11.196</v>
      </c>
      <c r="E15" s="1">
        <v>0.1908</v>
      </c>
      <c r="F15" s="1">
        <v>10.266999999999999</v>
      </c>
      <c r="G15" s="1">
        <v>0.2555</v>
      </c>
      <c r="H15" s="1">
        <v>23.323</v>
      </c>
      <c r="I15" s="1">
        <v>0.29399999999999998</v>
      </c>
      <c r="J15" s="1">
        <v>0.59099999999999997</v>
      </c>
      <c r="K15" s="1">
        <v>8.2600000000000007E-2</v>
      </c>
      <c r="L15" s="1">
        <v>2.6179999999999999</v>
      </c>
      <c r="M15" s="1">
        <v>0.14610000000000001</v>
      </c>
      <c r="N15" s="1">
        <v>1.6E-2</v>
      </c>
      <c r="O15" s="1">
        <v>0</v>
      </c>
      <c r="P15" s="1">
        <v>4.6210000000000004</v>
      </c>
      <c r="Q15" s="1"/>
      <c r="R15" s="1"/>
      <c r="S15" s="1"/>
      <c r="T15" s="1"/>
      <c r="U15" s="1"/>
      <c r="V15" s="1"/>
      <c r="W15" s="1"/>
    </row>
    <row r="16" spans="1:23">
      <c r="A16" t="s">
        <v>23</v>
      </c>
      <c r="B16" s="1">
        <v>48.671999999999997</v>
      </c>
      <c r="C16" s="1">
        <v>0.28039999999999998</v>
      </c>
      <c r="D16" s="1">
        <v>11.147</v>
      </c>
      <c r="E16" s="1">
        <v>0.20100000000000001</v>
      </c>
      <c r="F16" s="1">
        <v>10.154</v>
      </c>
      <c r="G16" s="1">
        <v>0.26440000000000002</v>
      </c>
      <c r="H16" s="1">
        <v>26.338000000000001</v>
      </c>
      <c r="I16" s="1">
        <v>0.3075</v>
      </c>
      <c r="J16" s="1">
        <v>0.57999999999999996</v>
      </c>
      <c r="K16" s="1">
        <v>8.7599999999999997E-2</v>
      </c>
      <c r="L16" s="1">
        <v>3.11</v>
      </c>
      <c r="M16" s="1">
        <v>0.15459999999999999</v>
      </c>
      <c r="N16" s="1">
        <v>1.4E-2</v>
      </c>
      <c r="O16" s="1">
        <v>0</v>
      </c>
      <c r="P16" s="1">
        <v>4.5460000000000003</v>
      </c>
      <c r="Q16" s="1"/>
      <c r="R16" s="1"/>
      <c r="S16" s="1"/>
      <c r="T16" s="1"/>
      <c r="U16" s="1"/>
      <c r="V16" s="1"/>
      <c r="W16" s="1"/>
    </row>
    <row r="17" spans="1:23">
      <c r="A17" t="s">
        <v>24</v>
      </c>
      <c r="B17" s="1">
        <v>50.384</v>
      </c>
      <c r="C17" s="1">
        <v>0.27760000000000001</v>
      </c>
      <c r="D17" s="1">
        <v>13.067</v>
      </c>
      <c r="E17" s="1">
        <v>0.19750000000000001</v>
      </c>
      <c r="F17" s="1">
        <v>10.455</v>
      </c>
      <c r="G17" s="1">
        <v>0.23860000000000001</v>
      </c>
      <c r="H17" s="1">
        <v>22.998999999999999</v>
      </c>
      <c r="I17" s="1">
        <v>0.30570000000000003</v>
      </c>
      <c r="J17" s="1">
        <v>0.47499999999999998</v>
      </c>
      <c r="K17" s="1">
        <v>8.4000000000000005E-2</v>
      </c>
      <c r="L17" s="1">
        <v>2.6190000000000002</v>
      </c>
      <c r="M17" s="1">
        <v>0.14990000000000001</v>
      </c>
      <c r="N17" s="1">
        <v>1.7000000000000001E-2</v>
      </c>
      <c r="O17" s="1">
        <v>0</v>
      </c>
      <c r="P17" s="1">
        <v>5.0469999999999997</v>
      </c>
      <c r="Q17" s="1"/>
      <c r="R17" s="1"/>
      <c r="S17" s="1"/>
      <c r="T17" s="1"/>
      <c r="U17" s="1"/>
      <c r="V17" s="1"/>
      <c r="W17" s="1"/>
    </row>
    <row r="18" spans="1:23">
      <c r="A18" t="s">
        <v>25</v>
      </c>
      <c r="B18" s="1">
        <v>51.082999999999998</v>
      </c>
      <c r="C18" s="1">
        <v>0.28870000000000001</v>
      </c>
      <c r="D18" s="1">
        <v>13.781000000000001</v>
      </c>
      <c r="E18" s="1">
        <v>0.20760000000000001</v>
      </c>
      <c r="F18" s="1">
        <v>9.7959999999999994</v>
      </c>
      <c r="G18" s="1">
        <v>0.24840000000000001</v>
      </c>
      <c r="H18" s="1">
        <v>22.15</v>
      </c>
      <c r="I18" s="1">
        <v>0.31319999999999998</v>
      </c>
      <c r="J18" s="1">
        <v>0.66500000000000004</v>
      </c>
      <c r="K18" s="1">
        <v>8.5800000000000001E-2</v>
      </c>
      <c r="L18" s="1">
        <v>2.524</v>
      </c>
      <c r="M18" s="1">
        <v>0.154</v>
      </c>
      <c r="N18" s="1">
        <v>1.7000000000000001E-2</v>
      </c>
      <c r="O18" s="1">
        <v>0</v>
      </c>
      <c r="P18" s="1">
        <v>4.7569999999999997</v>
      </c>
      <c r="Q18" s="1"/>
      <c r="R18" s="1"/>
      <c r="S18" s="1"/>
      <c r="T18" s="1"/>
      <c r="U18" s="1"/>
      <c r="V18" s="1"/>
      <c r="W18" s="1"/>
    </row>
    <row r="19" spans="1:23">
      <c r="A19" t="s">
        <v>26</v>
      </c>
      <c r="B19" s="1">
        <v>50.393000000000001</v>
      </c>
      <c r="C19" s="1">
        <v>0.28420000000000001</v>
      </c>
      <c r="D19" s="1">
        <v>13.343999999999999</v>
      </c>
      <c r="E19" s="1">
        <v>0.20549999999999999</v>
      </c>
      <c r="F19" s="1">
        <v>10.616</v>
      </c>
      <c r="G19" s="1">
        <v>0.25729999999999997</v>
      </c>
      <c r="H19" s="1">
        <v>22.404</v>
      </c>
      <c r="I19" s="1">
        <v>0.30659999999999998</v>
      </c>
      <c r="J19" s="1">
        <v>0.81299999999999994</v>
      </c>
      <c r="K19" s="1">
        <v>8.4099999999999994E-2</v>
      </c>
      <c r="L19" s="1">
        <v>2.4300000000000002</v>
      </c>
      <c r="M19" s="1">
        <v>0.15079999999999999</v>
      </c>
      <c r="N19" s="1">
        <v>1.7000000000000001E-2</v>
      </c>
      <c r="O19" s="1">
        <v>0</v>
      </c>
      <c r="P19" s="1">
        <v>5.1479999999999997</v>
      </c>
      <c r="Q19" s="1"/>
      <c r="R19" s="1"/>
      <c r="S19" s="1"/>
      <c r="T19" s="1"/>
      <c r="U19" s="1"/>
      <c r="V19" s="1"/>
      <c r="W19" s="1"/>
    </row>
    <row r="20" spans="1:23">
      <c r="A20" t="s">
        <v>27</v>
      </c>
      <c r="B20" s="1">
        <v>60.253</v>
      </c>
      <c r="C20" s="1">
        <v>0.29089999999999999</v>
      </c>
      <c r="D20" s="1">
        <v>11.358000000000001</v>
      </c>
      <c r="E20" s="1">
        <v>0.1762</v>
      </c>
      <c r="F20" s="1">
        <v>10.298999999999999</v>
      </c>
      <c r="G20" s="1">
        <v>0.22239999999999999</v>
      </c>
      <c r="H20" s="1">
        <v>15.69</v>
      </c>
      <c r="I20" s="1">
        <v>0.28260000000000002</v>
      </c>
      <c r="J20" s="1">
        <v>0.41399999999999998</v>
      </c>
      <c r="K20" s="1">
        <v>7.3200000000000001E-2</v>
      </c>
      <c r="L20" s="1">
        <v>1.986</v>
      </c>
      <c r="M20" s="1">
        <v>0.13350000000000001</v>
      </c>
      <c r="N20" s="1">
        <v>0.02</v>
      </c>
      <c r="O20" s="1">
        <v>0</v>
      </c>
      <c r="P20" s="1">
        <v>4.7960000000000003</v>
      </c>
      <c r="Q20" s="1"/>
      <c r="R20" s="1"/>
      <c r="S20" s="1"/>
      <c r="T20" s="1"/>
      <c r="U20" s="1"/>
      <c r="V20" s="1"/>
      <c r="W20" s="1"/>
    </row>
    <row r="21" spans="1:23">
      <c r="A21" t="s">
        <v>28</v>
      </c>
      <c r="B21" s="1">
        <v>64.742999999999995</v>
      </c>
      <c r="C21" s="1">
        <v>0.28670000000000001</v>
      </c>
      <c r="D21" s="1">
        <v>9.6</v>
      </c>
      <c r="E21" s="1">
        <v>0.15790000000000001</v>
      </c>
      <c r="F21" s="1">
        <v>10.029</v>
      </c>
      <c r="G21" s="1">
        <v>0.21060000000000001</v>
      </c>
      <c r="H21" s="1">
        <v>13.52</v>
      </c>
      <c r="I21" s="1">
        <v>0.26279999999999998</v>
      </c>
      <c r="J21" s="1">
        <v>0.36299999999999999</v>
      </c>
      <c r="K21" s="1">
        <v>7.5600000000000001E-2</v>
      </c>
      <c r="L21" s="1">
        <v>1.7450000000000001</v>
      </c>
      <c r="M21" s="1">
        <v>0.12239999999999999</v>
      </c>
      <c r="N21" s="1">
        <v>2.3E-2</v>
      </c>
      <c r="O21" s="1">
        <v>0</v>
      </c>
      <c r="P21" s="1">
        <v>4.8600000000000003</v>
      </c>
      <c r="Q21" s="1"/>
      <c r="R21" s="1"/>
      <c r="S21" s="1"/>
      <c r="T21" s="1"/>
      <c r="U21" s="1"/>
      <c r="V21" s="1"/>
      <c r="W21" s="1"/>
    </row>
    <row r="22" spans="1:23">
      <c r="A22" t="s">
        <v>29</v>
      </c>
      <c r="B22" s="1">
        <v>59.53</v>
      </c>
      <c r="C22" s="1">
        <v>0.29420000000000002</v>
      </c>
      <c r="D22" s="1">
        <v>10.746</v>
      </c>
      <c r="E22" s="1">
        <v>0.1895</v>
      </c>
      <c r="F22" s="1">
        <v>9.109</v>
      </c>
      <c r="G22" s="1">
        <v>0.2225</v>
      </c>
      <c r="H22" s="1">
        <v>18.222000000000001</v>
      </c>
      <c r="I22" s="1">
        <v>0.28060000000000002</v>
      </c>
      <c r="J22" s="1">
        <v>0.49299999999999999</v>
      </c>
      <c r="K22" s="1">
        <v>8.8499999999999995E-2</v>
      </c>
      <c r="L22" s="1">
        <v>1.901</v>
      </c>
      <c r="M22" s="1">
        <v>0.1341</v>
      </c>
      <c r="N22" s="1">
        <v>0.02</v>
      </c>
      <c r="O22" s="1">
        <v>0</v>
      </c>
      <c r="P22" s="1">
        <v>4.9809999999999999</v>
      </c>
      <c r="Q22" s="1"/>
      <c r="R22" s="1"/>
      <c r="S22" s="1"/>
      <c r="T22" s="1"/>
      <c r="U22" s="1"/>
      <c r="V22" s="1"/>
      <c r="W22" s="1"/>
    </row>
    <row r="23" spans="1:23">
      <c r="A23" t="s">
        <v>30</v>
      </c>
      <c r="B23" s="1">
        <v>60.191000000000003</v>
      </c>
      <c r="C23" s="1">
        <v>0.27950000000000003</v>
      </c>
      <c r="D23" s="1">
        <v>11.551</v>
      </c>
      <c r="E23" s="1">
        <v>0.16830000000000001</v>
      </c>
      <c r="F23" s="1">
        <v>10.295</v>
      </c>
      <c r="G23" s="1">
        <v>0.2097</v>
      </c>
      <c r="H23" s="1">
        <v>15.455</v>
      </c>
      <c r="I23" s="1">
        <v>0.27560000000000001</v>
      </c>
      <c r="J23" s="1">
        <v>0.52300000000000002</v>
      </c>
      <c r="K23" s="1">
        <v>7.0699999999999999E-2</v>
      </c>
      <c r="L23" s="1">
        <v>1.9850000000000001</v>
      </c>
      <c r="M23" s="1">
        <v>0.12839999999999999</v>
      </c>
      <c r="N23" s="1">
        <v>2.1000000000000001E-2</v>
      </c>
      <c r="O23" s="1">
        <v>0</v>
      </c>
      <c r="P23" s="1">
        <v>4.6239999999999997</v>
      </c>
      <c r="Q23" s="1"/>
      <c r="R23" s="1"/>
      <c r="S23" s="1"/>
      <c r="T23" s="1"/>
      <c r="U23" s="1"/>
      <c r="V23" s="1"/>
      <c r="W23" s="1"/>
    </row>
    <row r="24" spans="1:23">
      <c r="A24" t="s">
        <v>31</v>
      </c>
      <c r="B24" s="1">
        <v>65.561999999999998</v>
      </c>
      <c r="C24" s="1">
        <v>0.28470000000000001</v>
      </c>
      <c r="D24" s="1">
        <v>9.0709999999999997</v>
      </c>
      <c r="E24" s="1">
        <v>0.1527</v>
      </c>
      <c r="F24" s="1">
        <v>9.782</v>
      </c>
      <c r="G24" s="1">
        <v>0.20760000000000001</v>
      </c>
      <c r="H24" s="1">
        <v>13.292999999999999</v>
      </c>
      <c r="I24" s="1">
        <v>0.2606</v>
      </c>
      <c r="J24" s="1">
        <v>0.498</v>
      </c>
      <c r="K24" s="1">
        <v>6.6799999999999998E-2</v>
      </c>
      <c r="L24" s="1">
        <v>1.794</v>
      </c>
      <c r="M24" s="1">
        <v>0.12039999999999999</v>
      </c>
      <c r="N24" s="1">
        <v>2.3E-2</v>
      </c>
      <c r="O24" s="1">
        <v>0</v>
      </c>
      <c r="P24" s="1">
        <v>4.8140000000000001</v>
      </c>
      <c r="Q24" s="1"/>
      <c r="R24" s="1"/>
      <c r="S24" s="1"/>
      <c r="T24" s="1"/>
      <c r="U24" s="1"/>
      <c r="V24" s="1"/>
      <c r="W24" s="1"/>
    </row>
    <row r="25" spans="1:23">
      <c r="A25" t="s">
        <v>32</v>
      </c>
      <c r="B25" s="1">
        <v>59.386000000000003</v>
      </c>
      <c r="C25" s="1">
        <v>0.29160000000000003</v>
      </c>
      <c r="D25" s="1">
        <v>11.609</v>
      </c>
      <c r="E25" s="1">
        <v>0.18079999999999999</v>
      </c>
      <c r="F25" s="1">
        <v>9.7899999999999991</v>
      </c>
      <c r="G25" s="1">
        <v>0.2291</v>
      </c>
      <c r="H25" s="1">
        <v>16.587</v>
      </c>
      <c r="I25" s="1">
        <v>0.28320000000000001</v>
      </c>
      <c r="J25" s="1">
        <v>0.51900000000000002</v>
      </c>
      <c r="K25" s="1">
        <v>7.3300000000000004E-2</v>
      </c>
      <c r="L25" s="1">
        <v>2.11</v>
      </c>
      <c r="M25" s="1">
        <v>0.13350000000000001</v>
      </c>
      <c r="N25" s="1">
        <v>0.02</v>
      </c>
      <c r="O25" s="1">
        <v>0</v>
      </c>
      <c r="P25" s="1">
        <v>4.819</v>
      </c>
      <c r="Q25" s="1"/>
      <c r="R25" s="1"/>
      <c r="S25" s="1"/>
      <c r="T25" s="1"/>
      <c r="U25" s="1"/>
      <c r="V25" s="1"/>
      <c r="W25" s="1"/>
    </row>
    <row r="26" spans="1:23">
      <c r="A26" t="s">
        <v>33</v>
      </c>
      <c r="B26" s="1">
        <v>45.905000000000001</v>
      </c>
      <c r="C26" s="1">
        <v>0.28910000000000002</v>
      </c>
      <c r="D26" s="1">
        <v>9.01</v>
      </c>
      <c r="E26" s="1">
        <v>0.218</v>
      </c>
      <c r="F26" s="1">
        <v>9.9009999999999998</v>
      </c>
      <c r="G26" s="1">
        <v>0.29320000000000002</v>
      </c>
      <c r="H26" s="1">
        <v>31.888000000000002</v>
      </c>
      <c r="I26" s="1">
        <v>0.32200000000000001</v>
      </c>
      <c r="J26" s="1">
        <v>0.42299999999999999</v>
      </c>
      <c r="K26" s="1">
        <v>9.4100000000000003E-2</v>
      </c>
      <c r="L26" s="1">
        <v>2.8730000000000002</v>
      </c>
      <c r="M26" s="1">
        <v>0.16850000000000001</v>
      </c>
      <c r="N26" s="1">
        <v>1.2999999999999999E-2</v>
      </c>
      <c r="O26" s="1">
        <v>0</v>
      </c>
      <c r="P26" s="1">
        <v>4.8979999999999997</v>
      </c>
      <c r="Q26" s="1"/>
      <c r="R26" s="1"/>
      <c r="S26" s="1"/>
      <c r="T26" s="1"/>
      <c r="U26" s="1"/>
      <c r="V26" s="1"/>
      <c r="W26" s="1"/>
    </row>
    <row r="27" spans="1:23">
      <c r="A27" t="s">
        <v>34</v>
      </c>
      <c r="B27" s="1">
        <v>44.344000000000001</v>
      </c>
      <c r="C27" s="1">
        <v>0.27960000000000002</v>
      </c>
      <c r="D27" s="1">
        <v>8.6769999999999996</v>
      </c>
      <c r="E27" s="1">
        <v>0.2107</v>
      </c>
      <c r="F27" s="1">
        <v>10.679</v>
      </c>
      <c r="G27" s="1">
        <v>0.2964</v>
      </c>
      <c r="H27" s="1">
        <v>32.302999999999997</v>
      </c>
      <c r="I27" s="1">
        <v>0.32079999999999997</v>
      </c>
      <c r="J27" s="1">
        <v>0.58499999999999996</v>
      </c>
      <c r="K27" s="1">
        <v>9.2700000000000005E-2</v>
      </c>
      <c r="L27" s="1">
        <v>3.411</v>
      </c>
      <c r="M27" s="1">
        <v>0.1648</v>
      </c>
      <c r="N27" s="1">
        <v>1.2999999999999999E-2</v>
      </c>
      <c r="O27" s="1">
        <v>0</v>
      </c>
      <c r="P27" s="1">
        <v>4.8940000000000001</v>
      </c>
      <c r="Q27" s="1"/>
      <c r="R27" s="1"/>
      <c r="S27" s="1"/>
      <c r="T27" s="1"/>
      <c r="U27" s="1"/>
      <c r="V27" s="1"/>
      <c r="W27" s="1"/>
    </row>
    <row r="28" spans="1:23">
      <c r="A28" t="s">
        <v>35</v>
      </c>
      <c r="B28" s="1">
        <v>42.844999999999999</v>
      </c>
      <c r="C28" s="1">
        <v>0.2883</v>
      </c>
      <c r="D28" s="1">
        <v>10.147</v>
      </c>
      <c r="E28" s="1">
        <v>0.24890000000000001</v>
      </c>
      <c r="F28" s="1">
        <v>10.33</v>
      </c>
      <c r="G28" s="1">
        <v>0.30480000000000002</v>
      </c>
      <c r="H28" s="1">
        <v>32.662999999999997</v>
      </c>
      <c r="I28" s="1">
        <v>0.33789999999999998</v>
      </c>
      <c r="J28" s="1">
        <v>0.56899999999999995</v>
      </c>
      <c r="K28" s="1">
        <v>9.5100000000000004E-2</v>
      </c>
      <c r="L28" s="1">
        <v>3.4470000000000001</v>
      </c>
      <c r="M28" s="1">
        <v>0.17399999999999999</v>
      </c>
      <c r="N28" s="1">
        <v>1.2E-2</v>
      </c>
      <c r="O28" s="1">
        <v>0</v>
      </c>
      <c r="P28" s="1">
        <v>5.0019999999999998</v>
      </c>
      <c r="Q28" s="1"/>
      <c r="R28" s="1"/>
      <c r="S28" s="1"/>
      <c r="T28" s="1"/>
      <c r="U28" s="1"/>
      <c r="V28" s="1"/>
      <c r="W28" s="1"/>
    </row>
    <row r="29" spans="1:23">
      <c r="A29" t="s">
        <v>36</v>
      </c>
      <c r="B29" s="1">
        <v>46.962000000000003</v>
      </c>
      <c r="C29" s="1">
        <v>0.29170000000000001</v>
      </c>
      <c r="D29" s="1">
        <v>9.9350000000000005</v>
      </c>
      <c r="E29" s="1">
        <v>0.22370000000000001</v>
      </c>
      <c r="F29" s="1">
        <v>10.629</v>
      </c>
      <c r="G29" s="1">
        <v>0.27939999999999998</v>
      </c>
      <c r="H29" s="1">
        <v>29.087</v>
      </c>
      <c r="I29" s="1">
        <v>0.32400000000000001</v>
      </c>
      <c r="J29" s="1">
        <v>0.67900000000000005</v>
      </c>
      <c r="K29" s="1">
        <v>9.3399999999999997E-2</v>
      </c>
      <c r="L29" s="1">
        <v>2.7069999999999999</v>
      </c>
      <c r="M29" s="1">
        <v>0.16520000000000001</v>
      </c>
      <c r="N29" s="1">
        <v>1.4E-2</v>
      </c>
      <c r="O29" s="1">
        <v>0</v>
      </c>
      <c r="P29" s="1">
        <v>4.9969999999999999</v>
      </c>
      <c r="Q29" s="1"/>
      <c r="R29" s="1"/>
      <c r="S29" s="1"/>
      <c r="T29" s="1"/>
      <c r="U29" s="1"/>
      <c r="V29" s="1"/>
      <c r="W29" s="1"/>
    </row>
    <row r="30" spans="1:23">
      <c r="A30" t="s">
        <v>37</v>
      </c>
      <c r="B30" s="1">
        <v>46.426000000000002</v>
      </c>
      <c r="C30" s="1">
        <v>0.29949999999999999</v>
      </c>
      <c r="D30" s="1">
        <v>8.3819999999999997</v>
      </c>
      <c r="E30" s="1">
        <v>0.21329999999999999</v>
      </c>
      <c r="F30" s="1">
        <v>10.896000000000001</v>
      </c>
      <c r="G30" s="1">
        <v>0.29099999999999998</v>
      </c>
      <c r="H30" s="1">
        <v>30.306999999999999</v>
      </c>
      <c r="I30" s="1">
        <v>0.3377</v>
      </c>
      <c r="J30" s="1">
        <v>0.76100000000000001</v>
      </c>
      <c r="K30" s="1">
        <v>9.9500000000000005E-2</v>
      </c>
      <c r="L30" s="1">
        <v>3.2280000000000002</v>
      </c>
      <c r="M30" s="1">
        <v>0.17510000000000001</v>
      </c>
      <c r="N30" s="1">
        <v>1.4E-2</v>
      </c>
      <c r="O30" s="1">
        <v>0</v>
      </c>
      <c r="P30" s="1">
        <v>5.2069999999999999</v>
      </c>
      <c r="Q30" s="1"/>
      <c r="R30" s="1"/>
      <c r="S30" s="1"/>
      <c r="T30" s="1"/>
      <c r="U30" s="1"/>
      <c r="V30" s="1"/>
      <c r="W30" s="1"/>
    </row>
    <row r="31" spans="1:23">
      <c r="A31" t="s">
        <v>38</v>
      </c>
      <c r="B31" s="1">
        <v>40.392000000000003</v>
      </c>
      <c r="C31" s="1">
        <v>0.30409999999999998</v>
      </c>
      <c r="D31" s="1">
        <v>12.105</v>
      </c>
      <c r="E31" s="1">
        <v>0.26939999999999997</v>
      </c>
      <c r="F31" s="1">
        <v>8.9860000000000007</v>
      </c>
      <c r="G31" s="1">
        <v>0.3236</v>
      </c>
      <c r="H31" s="1">
        <v>34.43</v>
      </c>
      <c r="I31" s="1">
        <v>0.3785</v>
      </c>
      <c r="J31" s="1">
        <v>0.51900000000000002</v>
      </c>
      <c r="K31" s="1">
        <v>0.1118</v>
      </c>
      <c r="L31" s="1">
        <v>3.5680000000000001</v>
      </c>
      <c r="M31" s="1">
        <v>0.19700000000000001</v>
      </c>
      <c r="N31" s="1">
        <v>1.2E-2</v>
      </c>
      <c r="O31" s="1">
        <v>0</v>
      </c>
      <c r="P31" s="1">
        <v>5.7050000000000001</v>
      </c>
      <c r="Q31" s="1"/>
      <c r="R31" s="1"/>
      <c r="S31" s="1"/>
      <c r="T31" s="1"/>
      <c r="U31" s="1"/>
      <c r="V31" s="1"/>
      <c r="W31" s="1"/>
    </row>
    <row r="32" spans="1:23">
      <c r="A32" t="s">
        <v>39</v>
      </c>
      <c r="B32" s="1">
        <v>47.19</v>
      </c>
      <c r="C32" s="1">
        <v>0.29720000000000002</v>
      </c>
      <c r="D32" s="1">
        <v>11.212999999999999</v>
      </c>
      <c r="E32" s="1">
        <v>0.2351</v>
      </c>
      <c r="F32" s="1">
        <v>10.505000000000001</v>
      </c>
      <c r="G32" s="1">
        <v>0.27379999999999999</v>
      </c>
      <c r="H32" s="1">
        <v>27.847999999999999</v>
      </c>
      <c r="I32" s="1">
        <v>0.33210000000000001</v>
      </c>
      <c r="J32" s="1">
        <v>0.63200000000000001</v>
      </c>
      <c r="K32" s="1">
        <v>9.3100000000000002E-2</v>
      </c>
      <c r="L32" s="1">
        <v>2.6120000000000001</v>
      </c>
      <c r="M32" s="1">
        <v>0.16850000000000001</v>
      </c>
      <c r="N32" s="1">
        <v>1.4E-2</v>
      </c>
      <c r="O32" s="1">
        <v>0</v>
      </c>
      <c r="P32" s="1">
        <v>4.9359999999999999</v>
      </c>
      <c r="Q32" s="1"/>
      <c r="R32" s="1"/>
      <c r="S32" s="1"/>
      <c r="T32" s="1"/>
      <c r="U32" s="1"/>
      <c r="V32" s="1"/>
      <c r="W32" s="1"/>
    </row>
    <row r="33" spans="1:23">
      <c r="A33" t="s">
        <v>40</v>
      </c>
      <c r="B33" s="1">
        <v>46.1</v>
      </c>
      <c r="C33" s="1">
        <v>0.28149999999999997</v>
      </c>
      <c r="D33" s="1">
        <v>12.073</v>
      </c>
      <c r="E33" s="1">
        <v>0.21840000000000001</v>
      </c>
      <c r="F33" s="1">
        <v>10.346</v>
      </c>
      <c r="G33" s="1">
        <v>0.2949</v>
      </c>
      <c r="H33" s="1">
        <v>28.04</v>
      </c>
      <c r="I33" s="1">
        <v>0.31230000000000002</v>
      </c>
      <c r="J33" s="1">
        <v>0.53100000000000003</v>
      </c>
      <c r="K33" s="1">
        <v>8.5199999999999998E-2</v>
      </c>
      <c r="L33" s="1">
        <v>2.911</v>
      </c>
      <c r="M33" s="1">
        <v>0.1583</v>
      </c>
      <c r="N33" s="1">
        <v>1.2999999999999999E-2</v>
      </c>
      <c r="O33" s="1">
        <v>0</v>
      </c>
      <c r="P33" s="1">
        <v>4.593</v>
      </c>
      <c r="Q33" s="1"/>
      <c r="R33" s="1"/>
      <c r="S33" s="1"/>
      <c r="T33" s="1"/>
      <c r="U33" s="1"/>
      <c r="V33" s="1"/>
      <c r="W33" s="1"/>
    </row>
    <row r="34" spans="1:23">
      <c r="A34" t="s">
        <v>41</v>
      </c>
      <c r="B34" s="1">
        <v>49.942999999999998</v>
      </c>
      <c r="C34" s="1">
        <v>0.28939999999999999</v>
      </c>
      <c r="D34" s="1">
        <v>12.172000000000001</v>
      </c>
      <c r="E34" s="1">
        <v>0.21709999999999999</v>
      </c>
      <c r="F34" s="1">
        <v>9.2569999999999997</v>
      </c>
      <c r="G34" s="1">
        <v>0.27279999999999999</v>
      </c>
      <c r="H34" s="1">
        <v>25.943999999999999</v>
      </c>
      <c r="I34" s="1">
        <v>0.3039</v>
      </c>
      <c r="J34" s="1">
        <v>0.497</v>
      </c>
      <c r="K34" s="1">
        <v>8.3900000000000002E-2</v>
      </c>
      <c r="L34" s="1">
        <v>2.1869999999999998</v>
      </c>
      <c r="M34" s="1">
        <v>0.1507</v>
      </c>
      <c r="N34" s="1">
        <v>1.4999999999999999E-2</v>
      </c>
      <c r="O34" s="1">
        <v>0</v>
      </c>
      <c r="P34" s="1">
        <v>4.7210000000000001</v>
      </c>
      <c r="Q34" s="1"/>
      <c r="R34" s="1"/>
      <c r="S34" s="1"/>
      <c r="T34" s="1"/>
      <c r="U34" s="1"/>
      <c r="V34" s="1"/>
      <c r="W34" s="1"/>
    </row>
    <row r="35" spans="1:23">
      <c r="A35" t="s">
        <v>42</v>
      </c>
      <c r="B35" s="1">
        <v>45.167000000000002</v>
      </c>
      <c r="C35" s="1">
        <v>0.29609999999999997</v>
      </c>
      <c r="D35" s="1">
        <v>10.849</v>
      </c>
      <c r="E35" s="1">
        <v>0.26140000000000002</v>
      </c>
      <c r="F35" s="1">
        <v>9.5589999999999993</v>
      </c>
      <c r="G35" s="1">
        <v>0.2722</v>
      </c>
      <c r="H35" s="1">
        <v>30.966999999999999</v>
      </c>
      <c r="I35" s="1">
        <v>0.33729999999999999</v>
      </c>
      <c r="J35" s="1">
        <v>0.56000000000000005</v>
      </c>
      <c r="K35" s="1">
        <v>9.5399999999999999E-2</v>
      </c>
      <c r="L35" s="1">
        <v>2.8969999999999998</v>
      </c>
      <c r="M35" s="1">
        <v>0.17330000000000001</v>
      </c>
      <c r="N35" s="1">
        <v>1.4E-2</v>
      </c>
      <c r="O35" s="1">
        <v>0</v>
      </c>
      <c r="P35" s="1">
        <v>5.1390000000000002</v>
      </c>
      <c r="Q35" s="1"/>
      <c r="R35" s="1"/>
      <c r="S35" s="1"/>
      <c r="T35" s="1"/>
      <c r="U35" s="1"/>
      <c r="V35" s="1"/>
      <c r="W35" s="1"/>
    </row>
    <row r="36" spans="1:23">
      <c r="A36" t="s">
        <v>43</v>
      </c>
      <c r="B36" s="1">
        <v>46.47</v>
      </c>
      <c r="C36" s="1">
        <v>0.27829999999999999</v>
      </c>
      <c r="D36" s="1">
        <v>11.039</v>
      </c>
      <c r="E36" s="1">
        <v>0.20530000000000001</v>
      </c>
      <c r="F36" s="1">
        <v>10.101000000000001</v>
      </c>
      <c r="G36" s="1">
        <v>0.28360000000000002</v>
      </c>
      <c r="H36" s="1">
        <v>29.251000000000001</v>
      </c>
      <c r="I36" s="1">
        <v>0.30990000000000001</v>
      </c>
      <c r="J36" s="1">
        <v>0.28399999999999997</v>
      </c>
      <c r="K36" s="1">
        <v>8.5400000000000004E-2</v>
      </c>
      <c r="L36" s="1">
        <v>2.855</v>
      </c>
      <c r="M36" s="1">
        <v>0.15659999999999999</v>
      </c>
      <c r="N36" s="1">
        <v>1.4E-2</v>
      </c>
      <c r="O36" s="1">
        <v>0</v>
      </c>
      <c r="P36" s="1">
        <v>4.8159999999999998</v>
      </c>
      <c r="Q36" s="1"/>
      <c r="R36" s="1"/>
      <c r="S36" s="1"/>
      <c r="T36" s="1"/>
      <c r="U36" s="1"/>
      <c r="V36" s="1"/>
      <c r="W36" s="1"/>
    </row>
    <row r="37" spans="1:23">
      <c r="A37" t="s">
        <v>44</v>
      </c>
      <c r="B37" s="1">
        <v>48.287999999999997</v>
      </c>
      <c r="C37" s="1">
        <v>0.27489999999999998</v>
      </c>
      <c r="D37" s="1">
        <v>9.98</v>
      </c>
      <c r="E37" s="1">
        <v>0.19919999999999999</v>
      </c>
      <c r="F37" s="1">
        <v>10.007999999999999</v>
      </c>
      <c r="G37" s="1">
        <v>0.26129999999999998</v>
      </c>
      <c r="H37" s="1">
        <v>28.920999999999999</v>
      </c>
      <c r="I37" s="1">
        <v>0.2984</v>
      </c>
      <c r="J37" s="1">
        <v>0.42699999999999999</v>
      </c>
      <c r="K37" s="1">
        <v>8.5400000000000004E-2</v>
      </c>
      <c r="L37" s="1">
        <v>2.375</v>
      </c>
      <c r="M37" s="1">
        <v>0.153</v>
      </c>
      <c r="N37" s="1">
        <v>1.4999999999999999E-2</v>
      </c>
      <c r="O37" s="1">
        <v>0</v>
      </c>
      <c r="P37" s="1">
        <v>4.7939999999999996</v>
      </c>
      <c r="Q37" s="1"/>
      <c r="R37" s="1"/>
      <c r="S37" s="1"/>
      <c r="T37" s="1"/>
      <c r="U37" s="1"/>
      <c r="V37" s="1"/>
      <c r="W37" s="1"/>
    </row>
    <row r="38" spans="1:2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2:2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2:2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2:2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2:2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2:2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2:2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2:2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2:2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2:2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2:2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2:2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2:2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2:2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2:2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FB4D-8301-4A34-AC1C-9F92B55F8075}">
  <sheetPr codeName="Sheet2"/>
  <dimension ref="A1:Q79"/>
  <sheetViews>
    <sheetView tabSelected="1" workbookViewId="0">
      <pane xSplit="1" ySplit="1" topLeftCell="B6" activePane="bottomRight" state="frozen"/>
      <selection pane="bottomRight" activeCell="A43" sqref="A43"/>
      <selection pane="bottomLeft" activeCell="A2" sqref="A2"/>
      <selection pane="topRight" activeCell="B1" sqref="B1"/>
    </sheetView>
  </sheetViews>
  <sheetFormatPr defaultRowHeight="15"/>
  <cols>
    <col min="1" max="1" width="18" bestFit="1" customWidth="1"/>
  </cols>
  <sheetData>
    <row r="1" spans="1:17">
      <c r="A1" t="s">
        <v>0</v>
      </c>
      <c r="B1" s="14" t="str">
        <f>TopasOutput!B1</f>
        <v>Quartz</v>
      </c>
      <c r="C1" s="14"/>
      <c r="D1" s="15" t="str">
        <f>TopasOutput!D1</f>
        <v>Albite</v>
      </c>
      <c r="E1" s="15"/>
      <c r="F1" s="16" t="str">
        <f>TopasOutput!F1</f>
        <v>Microcline</v>
      </c>
      <c r="G1" s="16"/>
      <c r="H1" s="17" t="str">
        <f>TopasOutput!H1</f>
        <v>Mica</v>
      </c>
      <c r="I1" s="17"/>
      <c r="J1" s="18" t="str">
        <f>TopasOutput!J1</f>
        <v>Chlorite</v>
      </c>
      <c r="K1" s="18"/>
      <c r="L1" s="19" t="str">
        <f>TopasOutput!L1</f>
        <v>Kaolinite</v>
      </c>
      <c r="M1" s="19"/>
      <c r="N1" s="20" t="s">
        <v>45</v>
      </c>
      <c r="O1" s="20"/>
      <c r="P1" s="23" t="str">
        <f>TopasOutput!P1</f>
        <v>Rwp</v>
      </c>
      <c r="Q1" s="23"/>
    </row>
    <row r="2" spans="1:17">
      <c r="A2" t="s">
        <v>46</v>
      </c>
      <c r="B2" s="2">
        <v>0.46539999999999998</v>
      </c>
      <c r="C2" s="9">
        <v>3.0709999999999999E-3</v>
      </c>
      <c r="D2" s="3">
        <v>0.10801999999999999</v>
      </c>
      <c r="E2" s="8">
        <v>2.4949999999999998E-3</v>
      </c>
      <c r="F2" s="4">
        <v>8.7789999999999993E-2</v>
      </c>
      <c r="G2" s="10">
        <v>2.8310000000000002E-3</v>
      </c>
      <c r="H2" s="5">
        <v>0.30226999999999998</v>
      </c>
      <c r="I2" s="11">
        <v>3.4380000000000001E-3</v>
      </c>
      <c r="J2" s="6">
        <v>5.1000000000000004E-3</v>
      </c>
      <c r="K2" s="12">
        <v>9.8400000000000007E-4</v>
      </c>
      <c r="L2" s="7">
        <v>3.1419999999999997E-2</v>
      </c>
      <c r="M2" s="13">
        <v>1.7539999999999999E-3</v>
      </c>
      <c r="N2" s="2">
        <v>2.5784271594327463E-2</v>
      </c>
      <c r="O2" s="9"/>
      <c r="P2" s="21">
        <v>5.0659999999999997E-2</v>
      </c>
      <c r="Q2" s="22"/>
    </row>
    <row r="3" spans="1:17">
      <c r="A3" t="s">
        <v>47</v>
      </c>
      <c r="B3" s="2">
        <v>0.41881000000000002</v>
      </c>
      <c r="C3" s="9">
        <v>3.019E-3</v>
      </c>
      <c r="D3" s="3">
        <v>7.2510000000000005E-2</v>
      </c>
      <c r="E3" s="8">
        <v>2.4260000000000002E-3</v>
      </c>
      <c r="F3" s="4">
        <v>8.4390000000000007E-2</v>
      </c>
      <c r="G3" s="10">
        <v>3.212E-3</v>
      </c>
      <c r="H3" s="5">
        <v>0.37749000000000005</v>
      </c>
      <c r="I3" s="11">
        <v>3.6180000000000001E-3</v>
      </c>
      <c r="J3" s="6">
        <v>4.2699999999999995E-3</v>
      </c>
      <c r="K3" s="12">
        <v>1.0839999999999999E-3</v>
      </c>
      <c r="L3" s="7">
        <v>4.2529999999999998E-2</v>
      </c>
      <c r="M3" s="13">
        <v>1.9239999999999999E-3</v>
      </c>
      <c r="N3" s="2">
        <v>2.3877175807645472E-2</v>
      </c>
      <c r="O3" s="9"/>
      <c r="P3" s="21">
        <v>4.9139999999999996E-2</v>
      </c>
      <c r="Q3" s="22"/>
    </row>
    <row r="4" spans="1:17">
      <c r="A4" t="s">
        <v>48</v>
      </c>
      <c r="B4" s="2">
        <v>0.4375</v>
      </c>
      <c r="C4" s="9">
        <v>2.8479999999999998E-3</v>
      </c>
      <c r="D4" s="3">
        <v>9.391999999999999E-2</v>
      </c>
      <c r="E4" s="8">
        <v>2.3029999999999999E-3</v>
      </c>
      <c r="F4" s="4">
        <v>9.4510000000000011E-2</v>
      </c>
      <c r="G4" s="10">
        <v>2.9459999999999998E-3</v>
      </c>
      <c r="H4" s="5">
        <v>0.3332</v>
      </c>
      <c r="I4" s="11">
        <v>3.3040000000000001E-3</v>
      </c>
      <c r="J4" s="6">
        <v>5.2199999999999998E-3</v>
      </c>
      <c r="K4" s="12">
        <v>9.7400000000000004E-4</v>
      </c>
      <c r="L4" s="7">
        <v>3.5659999999999997E-2</v>
      </c>
      <c r="M4" s="13">
        <v>1.725E-3</v>
      </c>
      <c r="N4" s="2">
        <v>2.514285714285714E-2</v>
      </c>
      <c r="O4" s="9"/>
      <c r="P4" s="21">
        <v>4.7779999999999996E-2</v>
      </c>
      <c r="Q4" s="22"/>
    </row>
    <row r="5" spans="1:17">
      <c r="A5" t="s">
        <v>49</v>
      </c>
      <c r="B5" s="2">
        <v>0.46103</v>
      </c>
      <c r="C5" s="9">
        <v>3.192E-3</v>
      </c>
      <c r="D5" s="3">
        <v>8.2650000000000001E-2</v>
      </c>
      <c r="E5" s="8">
        <v>2.3389999999999999E-3</v>
      </c>
      <c r="F5" s="4">
        <v>7.7910000000000007E-2</v>
      </c>
      <c r="G5" s="10">
        <v>3.0530000000000002E-3</v>
      </c>
      <c r="H5" s="5">
        <v>0.34045000000000003</v>
      </c>
      <c r="I5" s="11">
        <v>3.5870000000000003E-3</v>
      </c>
      <c r="J5" s="6">
        <v>6.7600000000000004E-3</v>
      </c>
      <c r="K5" s="12">
        <v>1.08E-3</v>
      </c>
      <c r="L5" s="7">
        <v>3.1210000000000002E-2</v>
      </c>
      <c r="M5" s="13">
        <v>1.897E-3</v>
      </c>
      <c r="N5" s="2">
        <v>2.3859618679912369E-2</v>
      </c>
      <c r="O5" s="9"/>
      <c r="P5" s="21">
        <v>4.7329999999999997E-2</v>
      </c>
      <c r="Q5" s="22"/>
    </row>
    <row r="6" spans="1:17">
      <c r="A6" t="s">
        <v>50</v>
      </c>
      <c r="B6" s="2">
        <v>0.41972000000000004</v>
      </c>
      <c r="C6" s="9">
        <v>3.0170000000000002E-3</v>
      </c>
      <c r="D6" s="3">
        <v>7.3470000000000008E-2</v>
      </c>
      <c r="E6" s="8">
        <v>2.2980000000000001E-3</v>
      </c>
      <c r="F6" s="4">
        <v>9.1010000000000008E-2</v>
      </c>
      <c r="G6" s="10">
        <v>3.2029999999999997E-3</v>
      </c>
      <c r="H6" s="5">
        <v>0.36701</v>
      </c>
      <c r="I6" s="11">
        <v>3.6420000000000003E-3</v>
      </c>
      <c r="J6" s="6">
        <v>6.2300000000000003E-3</v>
      </c>
      <c r="K6" s="12">
        <v>1.0809999999999999E-3</v>
      </c>
      <c r="L6" s="7">
        <v>4.2569999999999997E-2</v>
      </c>
      <c r="M6" s="13">
        <v>1.921E-3</v>
      </c>
      <c r="N6" s="2">
        <v>2.3825407414466787E-2</v>
      </c>
      <c r="O6" s="9"/>
      <c r="P6" s="21">
        <v>4.5599999999999995E-2</v>
      </c>
      <c r="Q6" s="22"/>
    </row>
    <row r="7" spans="1:17">
      <c r="A7" t="s">
        <v>51</v>
      </c>
      <c r="B7" s="2">
        <v>0.45779000000000003</v>
      </c>
      <c r="C7" s="9">
        <v>2.8890000000000001E-3</v>
      </c>
      <c r="D7" s="3">
        <v>0.11146</v>
      </c>
      <c r="E7" s="8">
        <v>2.2330000000000002E-3</v>
      </c>
      <c r="F7" s="4">
        <v>9.801E-2</v>
      </c>
      <c r="G7" s="10">
        <v>2.9210000000000004E-3</v>
      </c>
      <c r="H7" s="5">
        <v>0.29527000000000003</v>
      </c>
      <c r="I7" s="11">
        <v>3.261E-3</v>
      </c>
      <c r="J7" s="6">
        <v>4.96E-3</v>
      </c>
      <c r="K7" s="12">
        <v>9.3599999999999998E-4</v>
      </c>
      <c r="L7" s="7">
        <v>3.2500000000000001E-2</v>
      </c>
      <c r="M7" s="13">
        <v>1.6619999999999998E-3</v>
      </c>
      <c r="N7" s="2">
        <v>2.8397300072085453E-2</v>
      </c>
      <c r="O7" s="9"/>
      <c r="P7" s="21">
        <v>4.6529999999999995E-2</v>
      </c>
      <c r="Q7" s="22"/>
    </row>
    <row r="8" spans="1:17">
      <c r="A8" t="s">
        <v>52</v>
      </c>
      <c r="B8" s="2">
        <v>0.43615999999999999</v>
      </c>
      <c r="C8" s="9">
        <v>3.0359999999999996E-3</v>
      </c>
      <c r="D8" s="3">
        <v>7.4560000000000001E-2</v>
      </c>
      <c r="E8" s="8">
        <v>2.2330000000000002E-3</v>
      </c>
      <c r="F8" s="4">
        <v>0.10563</v>
      </c>
      <c r="G8" s="10">
        <v>3.3430000000000001E-3</v>
      </c>
      <c r="H8" s="5">
        <v>0.34185000000000004</v>
      </c>
      <c r="I8" s="11">
        <v>3.503E-3</v>
      </c>
      <c r="J8" s="6">
        <v>5.0499999999999998E-3</v>
      </c>
      <c r="K8" s="12">
        <v>1.0460000000000001E-3</v>
      </c>
      <c r="L8" s="7">
        <v>3.6749999999999998E-2</v>
      </c>
      <c r="M8" s="13">
        <v>1.8559999999999998E-3</v>
      </c>
      <c r="N8" s="2">
        <v>2.7512839325018343E-2</v>
      </c>
      <c r="O8" s="9"/>
      <c r="P8" s="21">
        <v>4.8910000000000002E-2</v>
      </c>
      <c r="Q8" s="22"/>
    </row>
    <row r="9" spans="1:17">
      <c r="A9" t="s">
        <v>53</v>
      </c>
      <c r="B9" s="2">
        <v>0.44744999999999996</v>
      </c>
      <c r="C9" s="9">
        <v>2.9640000000000001E-3</v>
      </c>
      <c r="D9" s="3">
        <v>9.4640000000000002E-2</v>
      </c>
      <c r="E9" s="8">
        <v>2.3499999999999997E-3</v>
      </c>
      <c r="F9" s="4">
        <v>9.0540000000000009E-2</v>
      </c>
      <c r="G9" s="10">
        <v>2.9529999999999999E-3</v>
      </c>
      <c r="H9" s="5">
        <v>0.32058999999999999</v>
      </c>
      <c r="I9" s="11">
        <v>3.411E-3</v>
      </c>
      <c r="J9" s="6">
        <v>5.1700000000000001E-3</v>
      </c>
      <c r="K9" s="12">
        <v>9.7799999999999992E-4</v>
      </c>
      <c r="L9" s="7">
        <v>4.1619999999999997E-2</v>
      </c>
      <c r="M9" s="13">
        <v>1.768E-3</v>
      </c>
      <c r="N9" s="2">
        <v>2.6818638954073083E-2</v>
      </c>
      <c r="O9" s="9"/>
      <c r="P9" s="21">
        <v>4.836E-2</v>
      </c>
      <c r="Q9" s="22"/>
    </row>
    <row r="10" spans="1:17">
      <c r="A10" t="s">
        <v>54</v>
      </c>
      <c r="B10" s="2">
        <v>0.43534</v>
      </c>
      <c r="C10" s="9">
        <v>2.993E-3</v>
      </c>
      <c r="D10" s="3">
        <v>7.9519999999999993E-2</v>
      </c>
      <c r="E10" s="8">
        <v>2.1789999999999999E-3</v>
      </c>
      <c r="F10" s="4">
        <v>0.10381</v>
      </c>
      <c r="G10" s="10">
        <v>3.2799999999999999E-3</v>
      </c>
      <c r="H10" s="5">
        <v>0.33698999999999996</v>
      </c>
      <c r="I10" s="11">
        <v>3.4760000000000004E-3</v>
      </c>
      <c r="J10" s="6">
        <v>5.8199999999999997E-3</v>
      </c>
      <c r="K10" s="12">
        <v>1.0020000000000001E-3</v>
      </c>
      <c r="L10" s="7">
        <v>3.8519999999999999E-2</v>
      </c>
      <c r="M10" s="13">
        <v>1.8240000000000001E-3</v>
      </c>
      <c r="N10" s="2">
        <v>2.7564662103183719E-2</v>
      </c>
      <c r="O10" s="9"/>
      <c r="P10" s="21">
        <v>4.8829999999999998E-2</v>
      </c>
      <c r="Q10" s="22"/>
    </row>
    <row r="11" spans="1:17">
      <c r="A11" t="s">
        <v>55</v>
      </c>
      <c r="B11" s="2">
        <v>0.41555999999999998</v>
      </c>
      <c r="C11" s="9">
        <v>2.9789999999999999E-3</v>
      </c>
      <c r="D11" s="3">
        <v>0.12709000000000001</v>
      </c>
      <c r="E11" s="8">
        <v>2.4819999999999998E-3</v>
      </c>
      <c r="F11" s="4">
        <v>0.1048</v>
      </c>
      <c r="G11" s="10">
        <v>3.058E-3</v>
      </c>
      <c r="H11" s="5">
        <v>0.31034</v>
      </c>
      <c r="I11" s="11">
        <v>3.7090000000000001E-3</v>
      </c>
      <c r="J11" s="6">
        <v>5.2500000000000003E-3</v>
      </c>
      <c r="K11" s="12">
        <v>1.059E-3</v>
      </c>
      <c r="L11" s="7">
        <v>3.696E-2</v>
      </c>
      <c r="M11" s="13">
        <v>1.905E-3</v>
      </c>
      <c r="N11" s="2">
        <v>2.6470305130426412E-2</v>
      </c>
      <c r="O11" s="9"/>
      <c r="P11" s="21">
        <v>5.083E-2</v>
      </c>
      <c r="Q11" s="22"/>
    </row>
    <row r="12" spans="1:17">
      <c r="A12" t="s">
        <v>56</v>
      </c>
      <c r="B12" s="2">
        <v>0.43756</v>
      </c>
      <c r="C12" s="9">
        <v>2.993E-3</v>
      </c>
      <c r="D12" s="3">
        <v>0.10221999999999999</v>
      </c>
      <c r="E12" s="8">
        <v>2.3419999999999999E-3</v>
      </c>
      <c r="F12" s="4">
        <v>9.8569999999999991E-2</v>
      </c>
      <c r="G12" s="10">
        <v>2.9870000000000001E-3</v>
      </c>
      <c r="H12" s="5">
        <v>0.31309999999999999</v>
      </c>
      <c r="I12" s="11">
        <v>3.5570000000000003E-3</v>
      </c>
      <c r="J12" s="6">
        <v>6.3699999999999998E-3</v>
      </c>
      <c r="K12" s="12">
        <v>1.01E-3</v>
      </c>
      <c r="L12" s="7">
        <v>4.2190000000000005E-2</v>
      </c>
      <c r="M12" s="13">
        <v>1.8290000000000001E-3</v>
      </c>
      <c r="N12" s="2">
        <v>2.7424810311728678E-2</v>
      </c>
      <c r="O12" s="9"/>
      <c r="P12" s="21">
        <v>5.0730000000000004E-2</v>
      </c>
      <c r="Q12" s="22"/>
    </row>
    <row r="13" spans="1:17">
      <c r="A13" t="s">
        <v>57</v>
      </c>
      <c r="B13" s="2">
        <v>0.42355999999999999</v>
      </c>
      <c r="C13" s="9">
        <v>2.9449999999999997E-3</v>
      </c>
      <c r="D13" s="3">
        <v>8.9969999999999994E-2</v>
      </c>
      <c r="E13" s="8">
        <v>2.2500000000000003E-3</v>
      </c>
      <c r="F13" s="4">
        <v>9.4269999999999993E-2</v>
      </c>
      <c r="G13" s="10">
        <v>3.1350000000000002E-3</v>
      </c>
      <c r="H13" s="5">
        <v>0.34249000000000002</v>
      </c>
      <c r="I13" s="11">
        <v>3.5430000000000001E-3</v>
      </c>
      <c r="J13" s="6">
        <v>5.5100000000000001E-3</v>
      </c>
      <c r="K13" s="12">
        <v>9.9799999999999997E-4</v>
      </c>
      <c r="L13" s="7">
        <v>4.4189999999999993E-2</v>
      </c>
      <c r="M13" s="13">
        <v>1.8529999999999998E-3</v>
      </c>
      <c r="N13" s="2">
        <v>2.8331287184814431E-2</v>
      </c>
      <c r="O13" s="9"/>
      <c r="P13" s="21">
        <v>4.9950000000000001E-2</v>
      </c>
      <c r="Q13" s="22"/>
    </row>
    <row r="14" spans="1:17">
      <c r="A14" t="s">
        <v>58</v>
      </c>
      <c r="B14" s="2">
        <v>0.50222999999999995</v>
      </c>
      <c r="C14" s="9">
        <v>2.8519999999999999E-3</v>
      </c>
      <c r="D14" s="3">
        <v>0.10448</v>
      </c>
      <c r="E14" s="8">
        <v>2.003E-3</v>
      </c>
      <c r="F14" s="4">
        <v>9.8559999999999995E-2</v>
      </c>
      <c r="G14" s="10">
        <v>2.6819999999999999E-3</v>
      </c>
      <c r="H14" s="5">
        <v>0.26</v>
      </c>
      <c r="I14" s="11">
        <v>3.0209999999999998E-3</v>
      </c>
      <c r="J14" s="6">
        <v>4.79E-3</v>
      </c>
      <c r="K14" s="12">
        <v>8.1400000000000005E-4</v>
      </c>
      <c r="L14" s="7">
        <v>2.9940000000000001E-2</v>
      </c>
      <c r="M14" s="13">
        <v>1.5160000000000002E-3</v>
      </c>
      <c r="N14" s="2">
        <v>2.7875674491766724E-2</v>
      </c>
      <c r="O14" s="9"/>
      <c r="P14" s="21">
        <v>4.6399999999999997E-2</v>
      </c>
      <c r="Q14" s="22"/>
    </row>
    <row r="15" spans="1:17">
      <c r="A15" t="s">
        <v>59</v>
      </c>
      <c r="B15" s="2">
        <v>0.52005000000000001</v>
      </c>
      <c r="C15" s="9">
        <v>2.8189999999999999E-3</v>
      </c>
      <c r="D15" s="3">
        <v>0.11196</v>
      </c>
      <c r="E15" s="8">
        <v>1.908E-3</v>
      </c>
      <c r="F15" s="4">
        <v>0.10267</v>
      </c>
      <c r="G15" s="10">
        <v>2.555E-3</v>
      </c>
      <c r="H15" s="5">
        <v>0.23322999999999999</v>
      </c>
      <c r="I15" s="11">
        <v>2.9399999999999999E-3</v>
      </c>
      <c r="J15" s="6">
        <v>5.9099999999999995E-3</v>
      </c>
      <c r="K15" s="12">
        <v>8.2600000000000002E-4</v>
      </c>
      <c r="L15" s="7">
        <v>2.6179999999999998E-2</v>
      </c>
      <c r="M15" s="13">
        <v>1.4610000000000001E-3</v>
      </c>
      <c r="N15" s="2">
        <v>3.0766272473800597E-2</v>
      </c>
      <c r="O15" s="9"/>
      <c r="P15" s="21">
        <v>4.6210000000000001E-2</v>
      </c>
      <c r="Q15" s="22"/>
    </row>
    <row r="16" spans="1:17">
      <c r="A16" t="s">
        <v>60</v>
      </c>
      <c r="B16" s="2">
        <v>0.48671999999999999</v>
      </c>
      <c r="C16" s="9">
        <v>2.8039999999999996E-3</v>
      </c>
      <c r="D16" s="3">
        <v>0.11147</v>
      </c>
      <c r="E16" s="8">
        <v>2.0100000000000001E-3</v>
      </c>
      <c r="F16" s="4">
        <v>0.10154000000000001</v>
      </c>
      <c r="G16" s="10">
        <v>2.6440000000000001E-3</v>
      </c>
      <c r="H16" s="5">
        <v>0.26338</v>
      </c>
      <c r="I16" s="11">
        <v>3.075E-3</v>
      </c>
      <c r="J16" s="6">
        <v>5.7999999999999996E-3</v>
      </c>
      <c r="K16" s="12">
        <v>8.7599999999999993E-4</v>
      </c>
      <c r="L16" s="7">
        <v>3.1099999999999999E-2</v>
      </c>
      <c r="M16" s="13">
        <v>1.5459999999999998E-3</v>
      </c>
      <c r="N16" s="2">
        <v>2.8763971071663379E-2</v>
      </c>
      <c r="O16" s="9"/>
      <c r="P16" s="21">
        <v>4.546E-2</v>
      </c>
      <c r="Q16" s="22"/>
    </row>
    <row r="17" spans="1:17">
      <c r="A17" t="s">
        <v>61</v>
      </c>
      <c r="B17" s="2">
        <v>0.50383999999999995</v>
      </c>
      <c r="C17" s="9">
        <v>2.7760000000000003E-3</v>
      </c>
      <c r="D17" s="3">
        <v>0.13067000000000001</v>
      </c>
      <c r="E17" s="8">
        <v>1.9750000000000002E-3</v>
      </c>
      <c r="F17" s="4">
        <v>0.10455</v>
      </c>
      <c r="G17" s="10">
        <v>2.3860000000000001E-3</v>
      </c>
      <c r="H17" s="5">
        <v>0.22999</v>
      </c>
      <c r="I17" s="11">
        <v>3.0570000000000003E-3</v>
      </c>
      <c r="J17" s="6">
        <v>4.7499999999999999E-3</v>
      </c>
      <c r="K17" s="12">
        <v>8.4000000000000003E-4</v>
      </c>
      <c r="L17" s="7">
        <v>2.6190000000000001E-2</v>
      </c>
      <c r="M17" s="13">
        <v>1.4990000000000001E-3</v>
      </c>
      <c r="N17" s="2">
        <v>3.3740870117497622E-2</v>
      </c>
      <c r="O17" s="9"/>
      <c r="P17" s="21">
        <v>5.0469999999999994E-2</v>
      </c>
      <c r="Q17" s="22"/>
    </row>
    <row r="18" spans="1:17">
      <c r="A18" t="s">
        <v>62</v>
      </c>
      <c r="B18" s="2">
        <v>0.51083000000000001</v>
      </c>
      <c r="C18" s="9">
        <v>2.8870000000000002E-3</v>
      </c>
      <c r="D18" s="3">
        <v>0.13781000000000002</v>
      </c>
      <c r="E18" s="8">
        <v>2.0760000000000002E-3</v>
      </c>
      <c r="F18" s="4">
        <v>9.7959999999999992E-2</v>
      </c>
      <c r="G18" s="10">
        <v>2.4840000000000001E-3</v>
      </c>
      <c r="H18" s="5">
        <v>0.22149999999999997</v>
      </c>
      <c r="I18" s="11">
        <v>3.1319999999999998E-3</v>
      </c>
      <c r="J18" s="6">
        <v>6.6500000000000005E-3</v>
      </c>
      <c r="K18" s="12">
        <v>8.5800000000000004E-4</v>
      </c>
      <c r="L18" s="7">
        <v>2.5239999999999999E-2</v>
      </c>
      <c r="M18" s="13">
        <v>1.5399999999999999E-3</v>
      </c>
      <c r="N18" s="2">
        <v>3.3279173110428127E-2</v>
      </c>
      <c r="O18" s="9"/>
      <c r="P18" s="21">
        <v>4.7569999999999994E-2</v>
      </c>
      <c r="Q18" s="22"/>
    </row>
    <row r="19" spans="1:17">
      <c r="A19" t="s">
        <v>63</v>
      </c>
      <c r="B19" s="2">
        <v>0.50392999999999999</v>
      </c>
      <c r="C19" s="9">
        <v>2.8419999999999999E-3</v>
      </c>
      <c r="D19" s="3">
        <v>0.13344</v>
      </c>
      <c r="E19" s="8">
        <v>2.055E-3</v>
      </c>
      <c r="F19" s="4">
        <v>0.10615999999999999</v>
      </c>
      <c r="G19" s="10">
        <v>2.5729999999999998E-3</v>
      </c>
      <c r="H19" s="5">
        <v>0.22403999999999999</v>
      </c>
      <c r="I19" s="11">
        <v>3.0659999999999997E-3</v>
      </c>
      <c r="J19" s="6">
        <v>8.1300000000000001E-3</v>
      </c>
      <c r="K19" s="12">
        <v>8.4099999999999995E-4</v>
      </c>
      <c r="L19" s="7">
        <v>2.4300000000000002E-2</v>
      </c>
      <c r="M19" s="13">
        <v>1.5079999999999998E-3</v>
      </c>
      <c r="N19" s="2">
        <v>3.3734844125176119E-2</v>
      </c>
      <c r="O19" s="9"/>
      <c r="P19" s="21">
        <v>5.1479999999999998E-2</v>
      </c>
      <c r="Q19" s="22"/>
    </row>
    <row r="20" spans="1:17">
      <c r="A20" t="s">
        <v>64</v>
      </c>
      <c r="B20" s="2">
        <v>0.60253000000000001</v>
      </c>
      <c r="C20" s="9">
        <v>2.9090000000000001E-3</v>
      </c>
      <c r="D20" s="3">
        <v>0.11358</v>
      </c>
      <c r="E20" s="8">
        <v>1.7619999999999999E-3</v>
      </c>
      <c r="F20" s="4">
        <v>0.10299</v>
      </c>
      <c r="G20" s="10">
        <v>2.2239999999999998E-3</v>
      </c>
      <c r="H20" s="5">
        <v>0.15689999999999998</v>
      </c>
      <c r="I20" s="11">
        <v>2.8260000000000004E-3</v>
      </c>
      <c r="J20" s="6">
        <v>4.1399999999999996E-3</v>
      </c>
      <c r="K20" s="12">
        <v>7.3200000000000001E-4</v>
      </c>
      <c r="L20" s="7">
        <v>1.9859999999999999E-2</v>
      </c>
      <c r="M20" s="13">
        <v>1.335E-3</v>
      </c>
      <c r="N20" s="2">
        <v>3.3193367965080579E-2</v>
      </c>
      <c r="O20" s="9"/>
      <c r="P20" s="21">
        <v>4.7960000000000003E-2</v>
      </c>
      <c r="Q20" s="22"/>
    </row>
    <row r="21" spans="1:17">
      <c r="A21" t="s">
        <v>65</v>
      </c>
      <c r="B21" s="2">
        <v>0.64742999999999995</v>
      </c>
      <c r="C21" s="9">
        <v>2.8670000000000002E-3</v>
      </c>
      <c r="D21" s="3">
        <v>9.6000000000000002E-2</v>
      </c>
      <c r="E21" s="8">
        <v>1.5790000000000001E-3</v>
      </c>
      <c r="F21" s="4">
        <v>0.10029</v>
      </c>
      <c r="G21" s="10">
        <v>2.1060000000000002E-3</v>
      </c>
      <c r="H21" s="5">
        <v>0.13519999999999999</v>
      </c>
      <c r="I21" s="11">
        <v>2.6279999999999997E-3</v>
      </c>
      <c r="J21" s="6">
        <v>3.63E-3</v>
      </c>
      <c r="K21" s="12">
        <v>7.5600000000000005E-4</v>
      </c>
      <c r="L21" s="7">
        <v>1.745E-2</v>
      </c>
      <c r="M21" s="13">
        <v>1.224E-3</v>
      </c>
      <c r="N21" s="2">
        <v>3.5525076069999849E-2</v>
      </c>
      <c r="O21" s="9"/>
      <c r="P21" s="21">
        <v>4.8600000000000004E-2</v>
      </c>
      <c r="Q21" s="22"/>
    </row>
    <row r="22" spans="1:17">
      <c r="A22" t="s">
        <v>66</v>
      </c>
      <c r="B22" s="2">
        <v>0.59530000000000005</v>
      </c>
      <c r="C22" s="9">
        <v>2.9420000000000002E-3</v>
      </c>
      <c r="D22" s="3">
        <v>0.10746</v>
      </c>
      <c r="E22" s="8">
        <v>1.895E-3</v>
      </c>
      <c r="F22" s="4">
        <v>9.1090000000000004E-2</v>
      </c>
      <c r="G22" s="10">
        <v>2.225E-3</v>
      </c>
      <c r="H22" s="5">
        <v>0.18222000000000002</v>
      </c>
      <c r="I22" s="11">
        <v>2.8060000000000003E-3</v>
      </c>
      <c r="J22" s="6">
        <v>4.9300000000000004E-3</v>
      </c>
      <c r="K22" s="12">
        <v>8.8499999999999994E-4</v>
      </c>
      <c r="L22" s="7">
        <v>1.9009999999999999E-2</v>
      </c>
      <c r="M22" s="13">
        <v>1.341E-3</v>
      </c>
      <c r="N22" s="2">
        <v>3.3596505963379805E-2</v>
      </c>
      <c r="O22" s="9"/>
      <c r="P22" s="21">
        <v>4.981E-2</v>
      </c>
      <c r="Q22" s="22"/>
    </row>
    <row r="23" spans="1:17">
      <c r="A23" t="s">
        <v>67</v>
      </c>
      <c r="B23" s="2">
        <v>0.60191000000000006</v>
      </c>
      <c r="C23" s="9">
        <v>2.7950000000000002E-3</v>
      </c>
      <c r="D23" s="3">
        <v>0.11551</v>
      </c>
      <c r="E23" s="8">
        <v>1.683E-3</v>
      </c>
      <c r="F23" s="4">
        <v>0.10295</v>
      </c>
      <c r="G23" s="10">
        <v>2.0969999999999999E-3</v>
      </c>
      <c r="H23" s="5">
        <v>0.15454999999999999</v>
      </c>
      <c r="I23" s="11">
        <v>2.7560000000000002E-3</v>
      </c>
      <c r="J23" s="6">
        <v>5.2300000000000003E-3</v>
      </c>
      <c r="K23" s="12">
        <v>7.0699999999999995E-4</v>
      </c>
      <c r="L23" s="7">
        <v>1.985E-2</v>
      </c>
      <c r="M23" s="13">
        <v>1.2839999999999998E-3</v>
      </c>
      <c r="N23" s="2">
        <v>3.4888936884251799E-2</v>
      </c>
      <c r="O23" s="9"/>
      <c r="P23" s="21">
        <v>4.6239999999999996E-2</v>
      </c>
      <c r="Q23" s="22"/>
    </row>
    <row r="24" spans="1:17">
      <c r="A24" t="s">
        <v>68</v>
      </c>
      <c r="B24" s="2">
        <v>0.65561999999999998</v>
      </c>
      <c r="C24" s="9">
        <v>2.8470000000000001E-3</v>
      </c>
      <c r="D24" s="3">
        <v>9.0709999999999999E-2</v>
      </c>
      <c r="E24" s="8">
        <v>1.5269999999999999E-3</v>
      </c>
      <c r="F24" s="4">
        <v>9.7820000000000004E-2</v>
      </c>
      <c r="G24" s="10">
        <v>2.0760000000000002E-3</v>
      </c>
      <c r="H24" s="5">
        <v>0.13292999999999999</v>
      </c>
      <c r="I24" s="11">
        <v>2.6059999999999998E-3</v>
      </c>
      <c r="J24" s="6">
        <v>4.9800000000000001E-3</v>
      </c>
      <c r="K24" s="12">
        <v>6.6799999999999997E-4</v>
      </c>
      <c r="L24" s="7">
        <v>1.7940000000000001E-2</v>
      </c>
      <c r="M24" s="13">
        <v>1.204E-3</v>
      </c>
      <c r="N24" s="2">
        <v>3.5081297092828166E-2</v>
      </c>
      <c r="O24" s="9"/>
      <c r="P24" s="21">
        <v>4.8140000000000002E-2</v>
      </c>
      <c r="Q24" s="22"/>
    </row>
    <row r="25" spans="1:17">
      <c r="A25" t="s">
        <v>69</v>
      </c>
      <c r="B25" s="2">
        <v>0.59386000000000005</v>
      </c>
      <c r="C25" s="9">
        <v>2.9160000000000002E-3</v>
      </c>
      <c r="D25" s="3">
        <v>0.11609</v>
      </c>
      <c r="E25" s="8">
        <v>1.8079999999999999E-3</v>
      </c>
      <c r="F25" s="4">
        <v>9.7899999999999987E-2</v>
      </c>
      <c r="G25" s="10">
        <v>2.2910000000000001E-3</v>
      </c>
      <c r="H25" s="5">
        <v>0.16586999999999999</v>
      </c>
      <c r="I25" s="11">
        <v>2.8319999999999999E-3</v>
      </c>
      <c r="J25" s="6">
        <v>5.1900000000000002E-3</v>
      </c>
      <c r="K25" s="12">
        <v>7.3300000000000004E-4</v>
      </c>
      <c r="L25" s="7">
        <v>2.1099999999999997E-2</v>
      </c>
      <c r="M25" s="13">
        <v>1.335E-3</v>
      </c>
      <c r="N25" s="2">
        <v>3.3677971239012561E-2</v>
      </c>
      <c r="O25" s="9"/>
      <c r="P25" s="21">
        <v>4.8189999999999997E-2</v>
      </c>
      <c r="Q25" s="22"/>
    </row>
    <row r="26" spans="1:17">
      <c r="A26" t="s">
        <v>70</v>
      </c>
      <c r="B26" s="2">
        <v>0.45905000000000001</v>
      </c>
      <c r="C26" s="9">
        <v>2.8910000000000003E-3</v>
      </c>
      <c r="D26" s="3">
        <v>9.01E-2</v>
      </c>
      <c r="E26" s="8">
        <v>2.1800000000000001E-3</v>
      </c>
      <c r="F26" s="4">
        <v>9.9010000000000001E-2</v>
      </c>
      <c r="G26" s="10">
        <v>2.9320000000000001E-3</v>
      </c>
      <c r="H26" s="5">
        <v>0.31888</v>
      </c>
      <c r="I26" s="11">
        <v>3.2200000000000002E-3</v>
      </c>
      <c r="J26" s="6">
        <v>4.2300000000000003E-3</v>
      </c>
      <c r="K26" s="12">
        <v>9.41E-4</v>
      </c>
      <c r="L26" s="7">
        <v>2.8730000000000002E-2</v>
      </c>
      <c r="M26" s="13">
        <v>1.6850000000000001E-3</v>
      </c>
      <c r="N26" s="2">
        <v>2.8319355190066439E-2</v>
      </c>
      <c r="O26" s="9"/>
      <c r="P26" s="21">
        <v>4.8979999999999996E-2</v>
      </c>
      <c r="Q26" s="22"/>
    </row>
    <row r="27" spans="1:17">
      <c r="A27" t="s">
        <v>71</v>
      </c>
      <c r="B27" s="2">
        <v>0.44344</v>
      </c>
      <c r="C27" s="9">
        <v>2.7960000000000003E-3</v>
      </c>
      <c r="D27" s="3">
        <v>8.677E-2</v>
      </c>
      <c r="E27" s="8">
        <v>2.1069999999999999E-3</v>
      </c>
      <c r="F27" s="4">
        <v>0.10679</v>
      </c>
      <c r="G27" s="10">
        <v>2.9640000000000001E-3</v>
      </c>
      <c r="H27" s="5">
        <v>0.32302999999999998</v>
      </c>
      <c r="I27" s="11">
        <v>3.2079999999999999E-3</v>
      </c>
      <c r="J27" s="6">
        <v>5.8499999999999993E-3</v>
      </c>
      <c r="K27" s="12">
        <v>9.2700000000000009E-4</v>
      </c>
      <c r="L27" s="7">
        <v>3.4110000000000001E-2</v>
      </c>
      <c r="M27" s="13">
        <v>1.6479999999999999E-3</v>
      </c>
      <c r="N27" s="2">
        <v>2.9316254735702686E-2</v>
      </c>
      <c r="O27" s="9"/>
      <c r="P27" s="21">
        <v>4.8940000000000004E-2</v>
      </c>
      <c r="Q27" s="22"/>
    </row>
    <row r="28" spans="1:17">
      <c r="A28" t="s">
        <v>72</v>
      </c>
      <c r="B28" s="2">
        <v>0.42845</v>
      </c>
      <c r="C28" s="9">
        <v>2.8830000000000001E-3</v>
      </c>
      <c r="D28" s="3">
        <v>0.10147</v>
      </c>
      <c r="E28" s="8">
        <v>2.4889999999999999E-3</v>
      </c>
      <c r="F28" s="4">
        <v>0.1033</v>
      </c>
      <c r="G28" s="10">
        <v>3.0480000000000004E-3</v>
      </c>
      <c r="H28" s="5">
        <v>0.32662999999999998</v>
      </c>
      <c r="I28" s="11">
        <v>3.3789999999999996E-3</v>
      </c>
      <c r="J28" s="6">
        <v>5.6899999999999997E-3</v>
      </c>
      <c r="K28" s="12">
        <v>9.5100000000000002E-4</v>
      </c>
      <c r="L28" s="7">
        <v>3.4470000000000001E-2</v>
      </c>
      <c r="M28" s="13">
        <v>1.7399999999999998E-3</v>
      </c>
      <c r="N28" s="2">
        <v>2.8007935581748161E-2</v>
      </c>
      <c r="O28" s="9"/>
      <c r="P28" s="21">
        <v>5.0019999999999995E-2</v>
      </c>
      <c r="Q28" s="22"/>
    </row>
    <row r="29" spans="1:17">
      <c r="A29" t="s">
        <v>73</v>
      </c>
      <c r="B29" s="2">
        <v>0.46962000000000004</v>
      </c>
      <c r="C29" s="9">
        <v>2.9170000000000003E-3</v>
      </c>
      <c r="D29" s="3">
        <v>9.9350000000000008E-2</v>
      </c>
      <c r="E29" s="8">
        <v>2.2370000000000003E-3</v>
      </c>
      <c r="F29" s="4">
        <v>0.10629</v>
      </c>
      <c r="G29" s="10">
        <v>2.7939999999999996E-3</v>
      </c>
      <c r="H29" s="5">
        <v>0.29087000000000002</v>
      </c>
      <c r="I29" s="11">
        <v>3.2400000000000003E-3</v>
      </c>
      <c r="J29" s="6">
        <v>6.7900000000000009E-3</v>
      </c>
      <c r="K29" s="12">
        <v>9.3399999999999993E-4</v>
      </c>
      <c r="L29" s="7">
        <v>2.7069999999999997E-2</v>
      </c>
      <c r="M29" s="13">
        <v>1.652E-3</v>
      </c>
      <c r="N29" s="2">
        <v>2.9811336825518502E-2</v>
      </c>
      <c r="O29" s="9"/>
      <c r="P29" s="21">
        <v>4.9970000000000001E-2</v>
      </c>
      <c r="Q29" s="22"/>
    </row>
    <row r="30" spans="1:17">
      <c r="A30" t="s">
        <v>74</v>
      </c>
      <c r="B30" s="2">
        <v>0.46426000000000001</v>
      </c>
      <c r="C30" s="9">
        <v>2.9949999999999998E-3</v>
      </c>
      <c r="D30" s="3">
        <v>8.3819999999999992E-2</v>
      </c>
      <c r="E30" s="8">
        <v>2.1329999999999999E-3</v>
      </c>
      <c r="F30" s="4">
        <v>0.10896</v>
      </c>
      <c r="G30" s="10">
        <v>2.9099999999999998E-3</v>
      </c>
      <c r="H30" s="5">
        <v>0.30307000000000001</v>
      </c>
      <c r="I30" s="11">
        <v>3.3769999999999998E-3</v>
      </c>
      <c r="J30" s="6">
        <v>7.6100000000000004E-3</v>
      </c>
      <c r="K30" s="12">
        <v>9.9500000000000001E-4</v>
      </c>
      <c r="L30" s="7">
        <v>3.2280000000000003E-2</v>
      </c>
      <c r="M30" s="13">
        <v>1.751E-3</v>
      </c>
      <c r="N30" s="2">
        <v>3.0155516305518458E-2</v>
      </c>
      <c r="O30" s="9"/>
      <c r="P30" s="21">
        <v>5.2069999999999998E-2</v>
      </c>
      <c r="Q30" s="22"/>
    </row>
    <row r="31" spans="1:17">
      <c r="A31" t="s">
        <v>75</v>
      </c>
      <c r="B31" s="2">
        <v>0.40392000000000006</v>
      </c>
      <c r="C31" s="9">
        <v>3.0409999999999999E-3</v>
      </c>
      <c r="D31" s="3">
        <v>0.12105</v>
      </c>
      <c r="E31" s="8">
        <v>2.6939999999999998E-3</v>
      </c>
      <c r="F31" s="4">
        <v>8.9860000000000009E-2</v>
      </c>
      <c r="G31" s="10">
        <v>3.2360000000000002E-3</v>
      </c>
      <c r="H31" s="5">
        <v>0.34429999999999999</v>
      </c>
      <c r="I31" s="11">
        <v>3.7850000000000002E-3</v>
      </c>
      <c r="J31" s="6">
        <v>5.1900000000000002E-3</v>
      </c>
      <c r="K31" s="12">
        <v>1.1180000000000001E-3</v>
      </c>
      <c r="L31" s="7">
        <v>3.5680000000000003E-2</v>
      </c>
      <c r="M31" s="13">
        <v>1.97E-3</v>
      </c>
      <c r="N31" s="2">
        <v>2.9708853238264998E-2</v>
      </c>
      <c r="O31" s="9"/>
      <c r="P31" s="21">
        <v>5.7050000000000003E-2</v>
      </c>
      <c r="Q31" s="22"/>
    </row>
    <row r="32" spans="1:17">
      <c r="A32" t="s">
        <v>76</v>
      </c>
      <c r="B32" s="2">
        <v>0.47189999999999999</v>
      </c>
      <c r="C32" s="9">
        <v>2.9720000000000002E-3</v>
      </c>
      <c r="D32" s="3">
        <v>0.11212999999999999</v>
      </c>
      <c r="E32" s="8">
        <v>2.3510000000000002E-3</v>
      </c>
      <c r="F32" s="4">
        <v>0.10505</v>
      </c>
      <c r="G32" s="10">
        <v>2.738E-3</v>
      </c>
      <c r="H32" s="5">
        <v>0.27848000000000001</v>
      </c>
      <c r="I32" s="11">
        <v>3.3210000000000002E-3</v>
      </c>
      <c r="J32" s="6">
        <v>6.3200000000000001E-3</v>
      </c>
      <c r="K32" s="12">
        <v>9.3099999999999997E-4</v>
      </c>
      <c r="L32" s="7">
        <v>2.6120000000000001E-2</v>
      </c>
      <c r="M32" s="13">
        <v>1.6850000000000001E-3</v>
      </c>
      <c r="N32" s="2">
        <v>2.9667302394575122E-2</v>
      </c>
      <c r="O32" s="9"/>
      <c r="P32" s="21">
        <v>4.9360000000000001E-2</v>
      </c>
      <c r="Q32" s="22"/>
    </row>
    <row r="33" spans="1:17">
      <c r="A33" t="s">
        <v>77</v>
      </c>
      <c r="B33" s="2">
        <v>0.46100000000000002</v>
      </c>
      <c r="C33" s="9">
        <v>2.8149999999999998E-3</v>
      </c>
      <c r="D33" s="3">
        <v>0.12073</v>
      </c>
      <c r="E33" s="8">
        <v>2.1840000000000002E-3</v>
      </c>
      <c r="F33" s="4">
        <v>0.10346</v>
      </c>
      <c r="G33" s="10">
        <v>2.9489999999999998E-3</v>
      </c>
      <c r="H33" s="5">
        <v>0.28039999999999998</v>
      </c>
      <c r="I33" s="11">
        <v>3.1230000000000003E-3</v>
      </c>
      <c r="J33" s="6">
        <v>5.3100000000000005E-3</v>
      </c>
      <c r="K33" s="12">
        <v>8.52E-4</v>
      </c>
      <c r="L33" s="7">
        <v>2.911E-2</v>
      </c>
      <c r="M33" s="13">
        <v>1.583E-3</v>
      </c>
      <c r="N33" s="2">
        <v>2.8199566160520606E-2</v>
      </c>
      <c r="O33" s="9"/>
      <c r="P33" s="21">
        <v>4.5929999999999999E-2</v>
      </c>
      <c r="Q33" s="22"/>
    </row>
    <row r="34" spans="1:17">
      <c r="A34" t="s">
        <v>78</v>
      </c>
      <c r="B34" s="2">
        <v>0.49942999999999999</v>
      </c>
      <c r="C34" s="9">
        <v>2.8939999999999999E-3</v>
      </c>
      <c r="D34" s="3">
        <v>0.12172000000000001</v>
      </c>
      <c r="E34" s="8">
        <v>2.1709999999999998E-3</v>
      </c>
      <c r="F34" s="4">
        <v>9.257E-2</v>
      </c>
      <c r="G34" s="10">
        <v>2.728E-3</v>
      </c>
      <c r="H34" s="5">
        <v>0.25944</v>
      </c>
      <c r="I34" s="11">
        <v>3.039E-3</v>
      </c>
      <c r="J34" s="6">
        <v>4.9699999999999996E-3</v>
      </c>
      <c r="K34" s="12">
        <v>8.3900000000000001E-4</v>
      </c>
      <c r="L34" s="7">
        <v>2.1869999999999997E-2</v>
      </c>
      <c r="M34" s="13">
        <v>1.5070000000000001E-3</v>
      </c>
      <c r="N34" s="2">
        <v>3.0034239032497047E-2</v>
      </c>
      <c r="O34" s="9"/>
      <c r="P34" s="21">
        <v>4.7210000000000002E-2</v>
      </c>
      <c r="Q34" s="22"/>
    </row>
    <row r="35" spans="1:17">
      <c r="A35" t="s">
        <v>79</v>
      </c>
      <c r="B35" s="2">
        <v>0.45167000000000002</v>
      </c>
      <c r="C35" s="9">
        <v>2.9609999999999997E-3</v>
      </c>
      <c r="D35" s="3">
        <v>0.10849</v>
      </c>
      <c r="E35" s="8">
        <v>2.614E-3</v>
      </c>
      <c r="F35" s="4">
        <v>9.5589999999999994E-2</v>
      </c>
      <c r="G35" s="10">
        <v>2.722E-3</v>
      </c>
      <c r="H35" s="5">
        <v>0.30967</v>
      </c>
      <c r="I35" s="11">
        <v>3.3729999999999997E-3</v>
      </c>
      <c r="J35" s="6">
        <v>5.6000000000000008E-3</v>
      </c>
      <c r="K35" s="12">
        <v>9.5399999999999999E-4</v>
      </c>
      <c r="L35" s="7">
        <v>2.8969999999999999E-2</v>
      </c>
      <c r="M35" s="13">
        <v>1.7330000000000002E-3</v>
      </c>
      <c r="N35" s="2">
        <v>3.0996081209732768E-2</v>
      </c>
      <c r="O35" s="9"/>
      <c r="P35" s="21">
        <v>5.1390000000000005E-2</v>
      </c>
      <c r="Q35" s="22"/>
    </row>
    <row r="36" spans="1:17">
      <c r="A36" t="s">
        <v>80</v>
      </c>
      <c r="B36" s="2">
        <v>0.4647</v>
      </c>
      <c r="C36" s="9">
        <v>2.7829999999999999E-3</v>
      </c>
      <c r="D36" s="3">
        <v>0.11039</v>
      </c>
      <c r="E36" s="8">
        <v>2.0530000000000001E-3</v>
      </c>
      <c r="F36" s="4">
        <v>0.10101</v>
      </c>
      <c r="G36" s="10">
        <v>2.836E-3</v>
      </c>
      <c r="H36" s="5">
        <v>0.29250999999999999</v>
      </c>
      <c r="I36" s="11">
        <v>3.0990000000000002E-3</v>
      </c>
      <c r="J36" s="6">
        <v>2.8399999999999996E-3</v>
      </c>
      <c r="K36" s="12">
        <v>8.5400000000000005E-4</v>
      </c>
      <c r="L36" s="7">
        <v>2.8549999999999999E-2</v>
      </c>
      <c r="M36" s="13">
        <v>1.5659999999999999E-3</v>
      </c>
      <c r="N36" s="2">
        <v>3.0126963632451043E-2</v>
      </c>
      <c r="O36" s="9"/>
      <c r="P36" s="21">
        <v>4.8160000000000001E-2</v>
      </c>
      <c r="Q36" s="22"/>
    </row>
    <row r="37" spans="1:17">
      <c r="A37" t="s">
        <v>81</v>
      </c>
      <c r="B37" s="2">
        <v>0.48287999999999998</v>
      </c>
      <c r="C37" s="9">
        <v>2.7489999999999997E-3</v>
      </c>
      <c r="D37" s="3">
        <v>9.98E-2</v>
      </c>
      <c r="E37" s="8">
        <v>1.9919999999999998E-3</v>
      </c>
      <c r="F37" s="4">
        <v>0.10007999999999999</v>
      </c>
      <c r="G37" s="10">
        <v>2.6129999999999999E-3</v>
      </c>
      <c r="H37" s="5">
        <v>0.28920999999999997</v>
      </c>
      <c r="I37" s="11">
        <v>2.9840000000000001E-3</v>
      </c>
      <c r="J37" s="6">
        <v>4.2699999999999995E-3</v>
      </c>
      <c r="K37" s="12">
        <v>8.5400000000000005E-4</v>
      </c>
      <c r="L37" s="7">
        <v>2.375E-2</v>
      </c>
      <c r="M37" s="13">
        <v>1.5299999999999999E-3</v>
      </c>
      <c r="N37" s="2">
        <v>3.106361829025845E-2</v>
      </c>
      <c r="O37" s="9"/>
      <c r="P37" s="21">
        <v>4.7939999999999997E-2</v>
      </c>
      <c r="Q37" s="22"/>
    </row>
    <row r="38" spans="1:17">
      <c r="B38" s="2"/>
      <c r="C38" s="9"/>
      <c r="D38" s="3"/>
      <c r="E38" s="8"/>
      <c r="F38" s="4"/>
      <c r="G38" s="10"/>
      <c r="H38" s="5"/>
      <c r="I38" s="11"/>
      <c r="J38" s="6"/>
      <c r="K38" s="12"/>
      <c r="L38" s="7"/>
      <c r="M38" s="13"/>
      <c r="N38" s="2"/>
      <c r="O38" s="9"/>
      <c r="P38" s="21"/>
      <c r="Q38" s="22"/>
    </row>
    <row r="39" spans="1:17">
      <c r="B39" s="2"/>
      <c r="C39" s="9"/>
      <c r="D39" s="3"/>
      <c r="E39" s="8"/>
      <c r="F39" s="4"/>
      <c r="G39" s="10"/>
      <c r="H39" s="5"/>
      <c r="I39" s="11"/>
      <c r="J39" s="6"/>
      <c r="K39" s="12"/>
      <c r="L39" s="7"/>
      <c r="M39" s="13"/>
      <c r="N39" s="2"/>
      <c r="O39" s="9"/>
      <c r="P39" s="21"/>
      <c r="Q39" s="22"/>
    </row>
    <row r="40" spans="1:17">
      <c r="B40" s="2"/>
      <c r="C40" s="9"/>
      <c r="D40" s="3"/>
      <c r="E40" s="8"/>
      <c r="F40" s="4"/>
      <c r="G40" s="10"/>
      <c r="H40" s="5"/>
      <c r="I40" s="11"/>
      <c r="J40" s="6"/>
      <c r="K40" s="12"/>
      <c r="L40" s="7"/>
      <c r="M40" s="13"/>
      <c r="N40" s="2"/>
      <c r="O40" s="9"/>
      <c r="P40" s="21"/>
      <c r="Q40" s="22"/>
    </row>
    <row r="41" spans="1:17">
      <c r="B41" s="2"/>
      <c r="C41" s="9"/>
      <c r="D41" s="3"/>
      <c r="E41" s="8"/>
      <c r="F41" s="4"/>
      <c r="G41" s="10"/>
      <c r="H41" s="5"/>
      <c r="I41" s="11"/>
      <c r="J41" s="6"/>
      <c r="K41" s="12"/>
      <c r="L41" s="7"/>
      <c r="M41" s="13"/>
      <c r="N41" s="2"/>
      <c r="O41" s="9"/>
      <c r="P41" s="21"/>
      <c r="Q41" s="22"/>
    </row>
    <row r="42" spans="1:17">
      <c r="B42" s="2"/>
      <c r="C42" s="9"/>
      <c r="D42" s="3"/>
      <c r="E42" s="8"/>
      <c r="F42" s="4"/>
      <c r="G42" s="10"/>
      <c r="H42" s="5"/>
      <c r="I42" s="11"/>
      <c r="J42" s="6"/>
      <c r="K42" s="12"/>
      <c r="L42" s="7"/>
      <c r="M42" s="13"/>
      <c r="N42" s="2"/>
      <c r="O42" s="9"/>
      <c r="P42" s="21"/>
      <c r="Q42" s="22"/>
    </row>
    <row r="43" spans="1:17">
      <c r="B43" s="2"/>
      <c r="C43" s="9"/>
      <c r="D43" s="3"/>
      <c r="E43" s="8"/>
      <c r="F43" s="4"/>
      <c r="G43" s="10"/>
      <c r="H43" s="5"/>
      <c r="I43" s="11"/>
      <c r="J43" s="6"/>
      <c r="K43" s="12"/>
      <c r="L43" s="7"/>
      <c r="M43" s="13"/>
      <c r="N43" s="2"/>
      <c r="O43" s="9"/>
      <c r="P43" s="21"/>
      <c r="Q43" s="22"/>
    </row>
    <row r="44" spans="1:17">
      <c r="B44" s="2"/>
      <c r="C44" s="9"/>
      <c r="D44" s="3"/>
      <c r="E44" s="8"/>
      <c r="F44" s="4"/>
      <c r="G44" s="10"/>
      <c r="H44" s="5"/>
      <c r="I44" s="11"/>
      <c r="J44" s="6"/>
      <c r="K44" s="12"/>
      <c r="L44" s="7"/>
      <c r="M44" s="13"/>
      <c r="N44" s="2"/>
      <c r="O44" s="9"/>
      <c r="P44" s="21"/>
      <c r="Q44" s="22"/>
    </row>
    <row r="45" spans="1:17">
      <c r="B45" s="2"/>
      <c r="C45" s="9"/>
      <c r="D45" s="3"/>
      <c r="E45" s="8"/>
      <c r="F45" s="4"/>
      <c r="G45" s="10"/>
      <c r="H45" s="5"/>
      <c r="I45" s="11"/>
      <c r="J45" s="6"/>
      <c r="K45" s="12"/>
      <c r="L45" s="7"/>
      <c r="M45" s="13"/>
      <c r="N45" s="2"/>
      <c r="O45" s="9"/>
      <c r="P45" s="21"/>
      <c r="Q45" s="22"/>
    </row>
    <row r="46" spans="1:17">
      <c r="B46" s="2"/>
      <c r="C46" s="9"/>
      <c r="D46" s="3"/>
      <c r="E46" s="8"/>
      <c r="F46" s="4"/>
      <c r="G46" s="10"/>
      <c r="H46" s="5"/>
      <c r="I46" s="11"/>
      <c r="J46" s="6"/>
      <c r="K46" s="12"/>
      <c r="L46" s="7"/>
      <c r="M46" s="13"/>
      <c r="N46" s="2"/>
      <c r="O46" s="9"/>
      <c r="P46" s="21"/>
      <c r="Q46" s="22"/>
    </row>
    <row r="47" spans="1:17">
      <c r="B47" s="2"/>
      <c r="C47" s="9"/>
      <c r="D47" s="3"/>
      <c r="E47" s="8"/>
      <c r="F47" s="4"/>
      <c r="G47" s="10"/>
      <c r="H47" s="5"/>
      <c r="I47" s="11"/>
      <c r="J47" s="6"/>
      <c r="K47" s="12"/>
      <c r="L47" s="7"/>
      <c r="M47" s="13"/>
      <c r="N47" s="2"/>
      <c r="O47" s="9"/>
      <c r="P47" s="21"/>
      <c r="Q47" s="22"/>
    </row>
    <row r="48" spans="1:17">
      <c r="B48" s="2"/>
      <c r="C48" s="9"/>
      <c r="D48" s="3"/>
      <c r="E48" s="8"/>
      <c r="F48" s="4"/>
      <c r="G48" s="10"/>
      <c r="H48" s="5"/>
      <c r="I48" s="11"/>
      <c r="J48" s="6"/>
      <c r="K48" s="12"/>
      <c r="L48" s="7"/>
      <c r="M48" s="13"/>
      <c r="N48" s="2"/>
      <c r="O48" s="9"/>
      <c r="P48" s="21"/>
      <c r="Q48" s="22"/>
    </row>
    <row r="49" spans="2:17">
      <c r="B49" s="2"/>
      <c r="C49" s="9"/>
      <c r="D49" s="3"/>
      <c r="E49" s="8"/>
      <c r="F49" s="4"/>
      <c r="G49" s="10"/>
      <c r="H49" s="5"/>
      <c r="I49" s="11"/>
      <c r="J49" s="6"/>
      <c r="K49" s="12"/>
      <c r="L49" s="7"/>
      <c r="M49" s="13"/>
      <c r="N49" s="2"/>
      <c r="O49" s="9"/>
      <c r="P49" s="21"/>
      <c r="Q49" s="22"/>
    </row>
    <row r="50" spans="2:17">
      <c r="B50" s="2"/>
      <c r="C50" s="9"/>
      <c r="D50" s="3"/>
      <c r="E50" s="8"/>
      <c r="F50" s="4"/>
      <c r="G50" s="10"/>
      <c r="H50" s="5"/>
      <c r="I50" s="11"/>
      <c r="J50" s="6"/>
      <c r="K50" s="12"/>
      <c r="L50" s="7"/>
      <c r="M50" s="13"/>
      <c r="N50" s="2"/>
      <c r="O50" s="9"/>
      <c r="P50" s="21"/>
      <c r="Q50" s="22"/>
    </row>
    <row r="51" spans="2:17">
      <c r="B51" s="2"/>
      <c r="C51" s="9"/>
      <c r="D51" s="3"/>
      <c r="E51" s="8"/>
      <c r="F51" s="4"/>
      <c r="G51" s="10"/>
      <c r="H51" s="5"/>
      <c r="I51" s="11"/>
      <c r="J51" s="6"/>
      <c r="K51" s="12"/>
      <c r="L51" s="7"/>
      <c r="M51" s="13"/>
      <c r="N51" s="2"/>
      <c r="O51" s="9"/>
      <c r="P51" s="21"/>
      <c r="Q51" s="22"/>
    </row>
    <row r="52" spans="2:17">
      <c r="B52" s="2"/>
      <c r="C52" s="9"/>
      <c r="D52" s="3"/>
      <c r="E52" s="8"/>
      <c r="F52" s="4"/>
      <c r="G52" s="10"/>
      <c r="H52" s="5"/>
      <c r="I52" s="11"/>
      <c r="J52" s="6"/>
      <c r="K52" s="12"/>
      <c r="L52" s="7"/>
      <c r="M52" s="13"/>
      <c r="N52" s="2"/>
      <c r="O52" s="9"/>
      <c r="P52" s="21"/>
      <c r="Q52" s="22"/>
    </row>
    <row r="53" spans="2:17">
      <c r="B53" s="2"/>
      <c r="C53" s="9"/>
      <c r="D53" s="3"/>
      <c r="E53" s="8"/>
      <c r="F53" s="4"/>
      <c r="G53" s="10"/>
      <c r="H53" s="5"/>
      <c r="I53" s="11"/>
      <c r="J53" s="6"/>
      <c r="K53" s="12"/>
      <c r="L53" s="7"/>
      <c r="M53" s="13"/>
      <c r="N53" s="2"/>
      <c r="O53" s="9"/>
      <c r="P53" s="21"/>
      <c r="Q53" s="22"/>
    </row>
    <row r="54" spans="2:17">
      <c r="B54" s="2"/>
      <c r="C54" s="9"/>
      <c r="D54" s="3"/>
      <c r="E54" s="8"/>
      <c r="F54" s="4"/>
      <c r="G54" s="10"/>
      <c r="H54" s="5"/>
      <c r="I54" s="11"/>
      <c r="J54" s="6"/>
      <c r="K54" s="12"/>
      <c r="L54" s="7"/>
      <c r="M54" s="13"/>
      <c r="N54" s="2"/>
      <c r="O54" s="9"/>
      <c r="P54" s="21"/>
      <c r="Q54" s="22"/>
    </row>
    <row r="55" spans="2:17">
      <c r="B55" s="2"/>
      <c r="C55" s="9"/>
      <c r="D55" s="3"/>
      <c r="E55" s="8"/>
      <c r="F55" s="4"/>
      <c r="G55" s="10"/>
      <c r="H55" s="5"/>
      <c r="I55" s="11"/>
      <c r="J55" s="6"/>
      <c r="K55" s="12"/>
      <c r="L55" s="7"/>
      <c r="M55" s="13"/>
      <c r="N55" s="2"/>
      <c r="O55" s="9"/>
      <c r="P55" s="21"/>
      <c r="Q55" s="22"/>
    </row>
    <row r="56" spans="2:17">
      <c r="B56" s="2"/>
      <c r="C56" s="9"/>
      <c r="D56" s="3"/>
      <c r="E56" s="8"/>
      <c r="F56" s="4"/>
      <c r="G56" s="10"/>
      <c r="H56" s="5"/>
      <c r="I56" s="11"/>
      <c r="J56" s="6"/>
      <c r="K56" s="12"/>
      <c r="L56" s="7"/>
      <c r="M56" s="13"/>
      <c r="N56" s="2"/>
      <c r="O56" s="9"/>
      <c r="P56" s="21"/>
      <c r="Q56" s="22"/>
    </row>
    <row r="57" spans="2:17">
      <c r="B57" s="2"/>
      <c r="C57" s="9"/>
      <c r="D57" s="3"/>
      <c r="E57" s="8"/>
      <c r="F57" s="4"/>
      <c r="G57" s="10"/>
      <c r="H57" s="5"/>
      <c r="I57" s="11"/>
      <c r="J57" s="6"/>
      <c r="K57" s="12"/>
      <c r="L57" s="7"/>
      <c r="M57" s="13"/>
      <c r="N57" s="2"/>
      <c r="O57" s="9"/>
      <c r="P57" s="21"/>
      <c r="Q57" s="22"/>
    </row>
    <row r="58" spans="2:17">
      <c r="B58" s="2"/>
      <c r="C58" s="9"/>
      <c r="D58" s="3"/>
      <c r="E58" s="8"/>
      <c r="F58" s="4"/>
      <c r="G58" s="10"/>
      <c r="H58" s="5"/>
      <c r="I58" s="11"/>
      <c r="J58" s="6"/>
      <c r="K58" s="12"/>
      <c r="L58" s="7"/>
      <c r="M58" s="13"/>
      <c r="N58" s="2"/>
      <c r="O58" s="9"/>
      <c r="P58" s="21"/>
      <c r="Q58" s="22"/>
    </row>
    <row r="59" spans="2:17">
      <c r="B59" s="2"/>
      <c r="C59" s="9"/>
      <c r="D59" s="3"/>
      <c r="E59" s="8"/>
      <c r="F59" s="4"/>
      <c r="G59" s="10"/>
      <c r="H59" s="5"/>
      <c r="I59" s="11"/>
      <c r="J59" s="6"/>
      <c r="K59" s="12"/>
      <c r="L59" s="7"/>
      <c r="M59" s="13"/>
      <c r="N59" s="2"/>
      <c r="O59" s="9"/>
      <c r="P59" s="21"/>
      <c r="Q59" s="22"/>
    </row>
    <row r="60" spans="2:17">
      <c r="B60" s="2"/>
      <c r="C60" s="9"/>
      <c r="D60" s="3"/>
      <c r="E60" s="8"/>
      <c r="F60" s="4"/>
      <c r="G60" s="10"/>
      <c r="H60" s="5"/>
      <c r="I60" s="11"/>
      <c r="J60" s="6"/>
      <c r="K60" s="12"/>
      <c r="L60" s="7"/>
      <c r="M60" s="13"/>
      <c r="N60" s="2"/>
      <c r="O60" s="9"/>
      <c r="P60" s="21"/>
      <c r="Q60" s="22"/>
    </row>
    <row r="61" spans="2:17">
      <c r="B61" s="2"/>
      <c r="C61" s="9"/>
      <c r="D61" s="3"/>
      <c r="E61" s="8"/>
      <c r="F61" s="4"/>
      <c r="G61" s="10"/>
      <c r="H61" s="5"/>
      <c r="I61" s="11"/>
      <c r="J61" s="6"/>
      <c r="K61" s="12"/>
      <c r="L61" s="7"/>
      <c r="M61" s="13"/>
      <c r="N61" s="2"/>
      <c r="O61" s="9"/>
      <c r="P61" s="21"/>
      <c r="Q61" s="22"/>
    </row>
    <row r="62" spans="2:17">
      <c r="B62" s="2"/>
      <c r="C62" s="9"/>
      <c r="D62" s="3"/>
      <c r="E62" s="8"/>
      <c r="F62" s="4"/>
      <c r="G62" s="10"/>
      <c r="H62" s="5"/>
      <c r="I62" s="11"/>
      <c r="J62" s="6"/>
      <c r="K62" s="12"/>
      <c r="L62" s="7"/>
      <c r="M62" s="13"/>
      <c r="N62" s="2"/>
      <c r="O62" s="9"/>
      <c r="P62" s="21"/>
      <c r="Q62" s="22"/>
    </row>
    <row r="63" spans="2:17">
      <c r="B63" s="2"/>
      <c r="C63" s="9"/>
      <c r="D63" s="3"/>
      <c r="E63" s="8"/>
      <c r="F63" s="4"/>
      <c r="G63" s="10"/>
      <c r="H63" s="5"/>
      <c r="I63" s="11"/>
      <c r="J63" s="6"/>
      <c r="K63" s="12"/>
      <c r="L63" s="7"/>
      <c r="M63" s="13"/>
      <c r="N63" s="2"/>
      <c r="O63" s="9"/>
      <c r="P63" s="21"/>
      <c r="Q63" s="22"/>
    </row>
    <row r="64" spans="2:17">
      <c r="B64" s="2"/>
      <c r="C64" s="9"/>
      <c r="D64" s="3"/>
      <c r="E64" s="8"/>
      <c r="F64" s="4"/>
      <c r="G64" s="10"/>
      <c r="H64" s="5"/>
      <c r="I64" s="11"/>
      <c r="J64" s="6"/>
      <c r="K64" s="12"/>
      <c r="L64" s="7"/>
      <c r="M64" s="13"/>
      <c r="N64" s="2"/>
      <c r="O64" s="9"/>
      <c r="P64" s="21"/>
      <c r="Q64" s="22"/>
    </row>
    <row r="65" spans="2:17">
      <c r="B65" s="2"/>
      <c r="C65" s="9"/>
      <c r="D65" s="3"/>
      <c r="E65" s="8"/>
      <c r="F65" s="4"/>
      <c r="G65" s="10"/>
      <c r="H65" s="5"/>
      <c r="I65" s="11"/>
      <c r="J65" s="6"/>
      <c r="K65" s="12"/>
      <c r="L65" s="7"/>
      <c r="M65" s="13"/>
      <c r="N65" s="2"/>
      <c r="O65" s="9"/>
      <c r="P65" s="21"/>
      <c r="Q65" s="22"/>
    </row>
    <row r="66" spans="2:17">
      <c r="B66" s="2"/>
      <c r="C66" s="9"/>
      <c r="D66" s="3"/>
      <c r="E66" s="8"/>
      <c r="F66" s="4"/>
      <c r="G66" s="10"/>
      <c r="H66" s="5"/>
      <c r="I66" s="11"/>
      <c r="J66" s="6"/>
      <c r="K66" s="12"/>
      <c r="L66" s="7"/>
      <c r="M66" s="13"/>
      <c r="N66" s="2"/>
      <c r="O66" s="9"/>
      <c r="P66" s="21"/>
      <c r="Q66" s="22"/>
    </row>
    <row r="67" spans="2:17">
      <c r="B67" s="2"/>
      <c r="C67" s="9"/>
      <c r="D67" s="3"/>
      <c r="E67" s="8"/>
      <c r="F67" s="4"/>
      <c r="G67" s="10"/>
      <c r="H67" s="5"/>
      <c r="I67" s="11"/>
      <c r="J67" s="6"/>
      <c r="K67" s="12"/>
      <c r="L67" s="7"/>
      <c r="M67" s="13"/>
      <c r="N67" s="2"/>
      <c r="O67" s="9"/>
      <c r="P67" s="21"/>
      <c r="Q67" s="22"/>
    </row>
    <row r="68" spans="2:17">
      <c r="B68" s="2"/>
      <c r="C68" s="9"/>
      <c r="D68" s="3"/>
      <c r="E68" s="8"/>
      <c r="F68" s="4"/>
      <c r="G68" s="10"/>
      <c r="H68" s="5"/>
      <c r="I68" s="11"/>
      <c r="J68" s="6"/>
      <c r="K68" s="12"/>
      <c r="L68" s="7"/>
      <c r="M68" s="13"/>
      <c r="N68" s="2"/>
      <c r="O68" s="9"/>
      <c r="P68" s="21"/>
      <c r="Q68" s="22"/>
    </row>
    <row r="69" spans="2:17">
      <c r="B69" s="2"/>
      <c r="C69" s="9"/>
      <c r="D69" s="3"/>
      <c r="E69" s="8"/>
      <c r="F69" s="4"/>
      <c r="G69" s="10"/>
      <c r="H69" s="5"/>
      <c r="I69" s="11"/>
      <c r="J69" s="6"/>
      <c r="K69" s="12"/>
      <c r="L69" s="7"/>
      <c r="M69" s="13"/>
      <c r="N69" s="2"/>
      <c r="O69" s="9"/>
      <c r="P69" s="21"/>
      <c r="Q69" s="22"/>
    </row>
    <row r="70" spans="2:17">
      <c r="B70" s="2"/>
      <c r="C70" s="9"/>
      <c r="D70" s="3"/>
      <c r="E70" s="8"/>
      <c r="F70" s="4"/>
      <c r="G70" s="10"/>
      <c r="H70" s="5"/>
      <c r="I70" s="11"/>
      <c r="J70" s="6"/>
      <c r="K70" s="12"/>
      <c r="L70" s="7"/>
      <c r="M70" s="13"/>
      <c r="N70" s="2"/>
      <c r="O70" s="9"/>
      <c r="P70" s="21"/>
      <c r="Q70" s="22"/>
    </row>
    <row r="71" spans="2:17">
      <c r="B71" s="2"/>
      <c r="C71" s="9"/>
      <c r="D71" s="3"/>
      <c r="E71" s="8"/>
      <c r="F71" s="4"/>
      <c r="G71" s="10"/>
      <c r="H71" s="5"/>
      <c r="I71" s="11"/>
      <c r="J71" s="6"/>
      <c r="K71" s="12"/>
      <c r="L71" s="7"/>
      <c r="M71" s="13"/>
      <c r="N71" s="2"/>
      <c r="O71" s="9"/>
      <c r="P71" s="21"/>
      <c r="Q71" s="22"/>
    </row>
    <row r="72" spans="2:17">
      <c r="B72" s="2"/>
      <c r="C72" s="9"/>
      <c r="D72" s="3"/>
      <c r="E72" s="8"/>
      <c r="F72" s="4"/>
      <c r="G72" s="10"/>
      <c r="H72" s="5"/>
      <c r="I72" s="11"/>
      <c r="J72" s="6"/>
      <c r="K72" s="12"/>
      <c r="L72" s="7"/>
      <c r="M72" s="13"/>
      <c r="N72" s="2"/>
      <c r="O72" s="9"/>
      <c r="P72" s="21"/>
      <c r="Q72" s="22"/>
    </row>
    <row r="73" spans="2:17">
      <c r="B73" s="2"/>
      <c r="C73" s="9"/>
      <c r="D73" s="3"/>
      <c r="E73" s="8"/>
      <c r="F73" s="4"/>
      <c r="G73" s="10"/>
      <c r="H73" s="5"/>
      <c r="I73" s="11"/>
      <c r="J73" s="6"/>
      <c r="K73" s="12"/>
      <c r="L73" s="7"/>
      <c r="M73" s="13"/>
      <c r="N73" s="2"/>
      <c r="O73" s="9"/>
      <c r="P73" s="21"/>
      <c r="Q73" s="22"/>
    </row>
    <row r="74" spans="2:17">
      <c r="B74" s="2"/>
      <c r="C74" s="9"/>
      <c r="D74" s="3"/>
      <c r="E74" s="8"/>
      <c r="F74" s="4"/>
      <c r="G74" s="10"/>
      <c r="H74" s="5"/>
      <c r="I74" s="11"/>
      <c r="J74" s="6"/>
      <c r="K74" s="12"/>
      <c r="L74" s="7"/>
      <c r="M74" s="13"/>
      <c r="N74" s="2"/>
      <c r="O74" s="9"/>
      <c r="P74" s="21"/>
      <c r="Q74" s="22"/>
    </row>
    <row r="75" spans="2:17">
      <c r="B75" s="2"/>
      <c r="C75" s="9"/>
      <c r="D75" s="3"/>
      <c r="E75" s="8"/>
      <c r="F75" s="4"/>
      <c r="G75" s="10"/>
      <c r="H75" s="5"/>
      <c r="I75" s="11"/>
      <c r="J75" s="6"/>
      <c r="K75" s="12"/>
      <c r="L75" s="7"/>
      <c r="M75" s="13"/>
      <c r="N75" s="2"/>
      <c r="O75" s="9"/>
      <c r="P75" s="21"/>
      <c r="Q75" s="22"/>
    </row>
    <row r="76" spans="2:17">
      <c r="B76" s="2"/>
      <c r="C76" s="9"/>
      <c r="D76" s="3"/>
      <c r="E76" s="8"/>
      <c r="F76" s="4"/>
      <c r="G76" s="10"/>
      <c r="H76" s="5"/>
      <c r="I76" s="11"/>
      <c r="J76" s="6"/>
      <c r="K76" s="12"/>
      <c r="L76" s="7"/>
      <c r="M76" s="13"/>
      <c r="N76" s="2"/>
      <c r="O76" s="9"/>
      <c r="P76" s="21"/>
      <c r="Q76" s="22"/>
    </row>
    <row r="77" spans="2:17">
      <c r="B77" s="2"/>
      <c r="C77" s="9"/>
      <c r="D77" s="3"/>
      <c r="E77" s="8"/>
      <c r="F77" s="4"/>
      <c r="G77" s="10"/>
      <c r="H77" s="5"/>
      <c r="I77" s="11"/>
      <c r="J77" s="6"/>
      <c r="K77" s="12"/>
      <c r="L77" s="7"/>
      <c r="M77" s="13"/>
      <c r="N77" s="2"/>
      <c r="O77" s="9"/>
      <c r="P77" s="21"/>
      <c r="Q77" s="22"/>
    </row>
    <row r="78" spans="2:17">
      <c r="B78" s="2"/>
      <c r="C78" s="9"/>
      <c r="D78" s="3"/>
      <c r="E78" s="8"/>
      <c r="F78" s="4"/>
      <c r="G78" s="10"/>
      <c r="H78" s="5"/>
      <c r="I78" s="11"/>
      <c r="J78" s="6"/>
      <c r="K78" s="12"/>
      <c r="L78" s="7"/>
      <c r="M78" s="13"/>
      <c r="N78" s="2"/>
      <c r="O78" s="9"/>
      <c r="P78" s="21"/>
      <c r="Q78" s="22"/>
    </row>
    <row r="79" spans="2:17">
      <c r="B79" s="2"/>
      <c r="C79" s="9"/>
      <c r="D79" s="3"/>
      <c r="E79" s="8"/>
      <c r="F79" s="4"/>
      <c r="G79" s="10"/>
      <c r="H79" s="5"/>
      <c r="I79" s="11"/>
      <c r="J79" s="6"/>
      <c r="K79" s="12"/>
      <c r="L79" s="7"/>
      <c r="M79" s="13"/>
      <c r="N79" s="2"/>
      <c r="O79" s="9"/>
      <c r="P79" s="21"/>
      <c r="Q79" s="22"/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0CEA38-D736-40CB-B8ED-6A04164D5D4D}"/>
</file>

<file path=customXml/itemProps2.xml><?xml version="1.0" encoding="utf-8"?>
<ds:datastoreItem xmlns:ds="http://schemas.openxmlformats.org/officeDocument/2006/customXml" ds:itemID="{B75071BB-2E30-435F-8424-5AF7DB82FF9E}"/>
</file>

<file path=customXml/itemProps3.xml><?xml version="1.0" encoding="utf-8"?>
<ds:datastoreItem xmlns:ds="http://schemas.openxmlformats.org/officeDocument/2006/customXml" ds:itemID="{F92CACAA-41ED-4B3C-9A92-2E01874065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Bowden</dc:creator>
  <cp:keywords/>
  <dc:description/>
  <cp:lastModifiedBy/>
  <cp:revision/>
  <dcterms:created xsi:type="dcterms:W3CDTF">2021-07-28T18:17:53Z</dcterms:created>
  <dcterms:modified xsi:type="dcterms:W3CDTF">2026-07-29T21:29:59Z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
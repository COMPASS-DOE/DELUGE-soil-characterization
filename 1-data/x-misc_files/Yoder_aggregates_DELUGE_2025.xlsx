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pnnl-my.sharepoint.com/personal/marci_garcia_pnnl_gov/Documents/Kenton pH water/"/>
    </mc:Choice>
  </mc:AlternateContent>
  <xr:revisionPtr revIDLastSave="425" documentId="8_{39108D1F-F599-4DDE-9BDC-DB03C1F493DA}" xr6:coauthVersionLast="47" xr6:coauthVersionMax="47" xr10:uidLastSave="{30DC9B23-9EC4-4BD4-B20E-5EBBF116D2D6}"/>
  <bookViews>
    <workbookView xWindow="9510" yWindow="0" windowWidth="9780" windowHeight="11370" firstSheet="3" activeTab="2" xr2:uid="{B9B9EE08-11FF-43B8-8029-F679CDA9E6D5}"/>
  </bookViews>
  <sheets>
    <sheet name="Aggregate Distribution_Run1" sheetId="1" r:id="rId1"/>
    <sheet name="Agg_Soil_moisture Run1" sheetId="2" r:id="rId2"/>
    <sheet name="Aggregate Distribution_Run2" sheetId="3" r:id="rId3"/>
    <sheet name="Agg_soil moisture_Run2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46" i="3" l="1"/>
  <c r="O142" i="3"/>
  <c r="N146" i="3"/>
  <c r="N147" i="3"/>
  <c r="N148" i="3"/>
  <c r="N149" i="3"/>
  <c r="J149" i="3"/>
  <c r="K149" i="3" s="1"/>
  <c r="J148" i="3"/>
  <c r="K148" i="3" s="1"/>
  <c r="J147" i="3"/>
  <c r="K147" i="3" s="1"/>
  <c r="J146" i="3"/>
  <c r="K146" i="3" s="1"/>
  <c r="L146" i="3" s="1"/>
  <c r="E146" i="3"/>
  <c r="K63" i="3"/>
  <c r="K64" i="3"/>
  <c r="K65" i="3"/>
  <c r="K62" i="3"/>
  <c r="K59" i="3"/>
  <c r="K60" i="3"/>
  <c r="K61" i="3"/>
  <c r="K58" i="3"/>
  <c r="K55" i="3"/>
  <c r="K56" i="3"/>
  <c r="K57" i="3"/>
  <c r="K54" i="3"/>
  <c r="K51" i="3"/>
  <c r="K52" i="3"/>
  <c r="K53" i="3"/>
  <c r="K50" i="3"/>
  <c r="K49" i="3"/>
  <c r="E62" i="3"/>
  <c r="E58" i="3"/>
  <c r="E54" i="3"/>
  <c r="E50" i="3"/>
  <c r="K15" i="4"/>
  <c r="H14" i="4"/>
  <c r="K14" i="4"/>
  <c r="K16" i="4"/>
  <c r="K17" i="4"/>
  <c r="M5" i="3"/>
  <c r="M4" i="3"/>
  <c r="M3" i="3"/>
  <c r="M2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F14" i="4"/>
  <c r="J15" i="1"/>
  <c r="J16" i="1"/>
  <c r="J17" i="1"/>
  <c r="J14" i="1"/>
  <c r="D14" i="1"/>
  <c r="K17" i="1"/>
  <c r="K49" i="1"/>
  <c r="K45" i="1"/>
  <c r="J47" i="1"/>
  <c r="J48" i="1"/>
  <c r="J49" i="1"/>
  <c r="J46" i="1"/>
  <c r="J43" i="1"/>
  <c r="J44" i="1"/>
  <c r="J45" i="1"/>
  <c r="J42" i="1"/>
  <c r="D46" i="1"/>
  <c r="D42" i="1"/>
  <c r="D38" i="1"/>
  <c r="D34" i="1"/>
  <c r="D30" i="1"/>
  <c r="D26" i="1"/>
  <c r="D22" i="1"/>
  <c r="D18" i="1"/>
  <c r="K143" i="3"/>
  <c r="N143" i="3" s="1"/>
  <c r="K144" i="3"/>
  <c r="N144" i="3" s="1"/>
  <c r="K145" i="3"/>
  <c r="N145" i="3" s="1"/>
  <c r="K142" i="3"/>
  <c r="N142" i="3" s="1"/>
  <c r="K139" i="3"/>
  <c r="N139" i="3" s="1"/>
  <c r="K140" i="3"/>
  <c r="N140" i="3" s="1"/>
  <c r="K141" i="3"/>
  <c r="N141" i="3" s="1"/>
  <c r="K138" i="3"/>
  <c r="N138" i="3" s="1"/>
  <c r="K135" i="3"/>
  <c r="N135" i="3" s="1"/>
  <c r="K136" i="3"/>
  <c r="N136" i="3" s="1"/>
  <c r="K137" i="3"/>
  <c r="N137" i="3" s="1"/>
  <c r="K134" i="3"/>
  <c r="N134" i="3" s="1"/>
  <c r="K131" i="3"/>
  <c r="N131" i="3" s="1"/>
  <c r="K132" i="3"/>
  <c r="N132" i="3" s="1"/>
  <c r="K133" i="3"/>
  <c r="N133" i="3" s="1"/>
  <c r="K130" i="3"/>
  <c r="N130" i="3" s="1"/>
  <c r="K127" i="3"/>
  <c r="N127" i="3" s="1"/>
  <c r="K128" i="3"/>
  <c r="N128" i="3" s="1"/>
  <c r="K129" i="3"/>
  <c r="N129" i="3" s="1"/>
  <c r="K126" i="3"/>
  <c r="N126" i="3" s="1"/>
  <c r="K123" i="3"/>
  <c r="N123" i="3" s="1"/>
  <c r="K124" i="3"/>
  <c r="N124" i="3" s="1"/>
  <c r="K125" i="3"/>
  <c r="N125" i="3" s="1"/>
  <c r="K122" i="3"/>
  <c r="N122" i="3" s="1"/>
  <c r="K119" i="3"/>
  <c r="N119" i="3" s="1"/>
  <c r="K120" i="3"/>
  <c r="N120" i="3" s="1"/>
  <c r="K121" i="3"/>
  <c r="N121" i="3" s="1"/>
  <c r="K118" i="3"/>
  <c r="N118" i="3" s="1"/>
  <c r="K115" i="3"/>
  <c r="N115" i="3" s="1"/>
  <c r="K116" i="3"/>
  <c r="N116" i="3" s="1"/>
  <c r="K117" i="3"/>
  <c r="N117" i="3" s="1"/>
  <c r="K114" i="3"/>
  <c r="N114" i="3" s="1"/>
  <c r="K111" i="3"/>
  <c r="N111" i="3" s="1"/>
  <c r="K112" i="3"/>
  <c r="N112" i="3" s="1"/>
  <c r="K113" i="3"/>
  <c r="N113" i="3" s="1"/>
  <c r="K110" i="3"/>
  <c r="N110" i="3" s="1"/>
  <c r="K107" i="3"/>
  <c r="N107" i="3" s="1"/>
  <c r="K108" i="3"/>
  <c r="N108" i="3" s="1"/>
  <c r="K109" i="3"/>
  <c r="N109" i="3" s="1"/>
  <c r="K106" i="3"/>
  <c r="N106" i="3" s="1"/>
  <c r="K102" i="3"/>
  <c r="N102" i="3" s="1"/>
  <c r="K103" i="3"/>
  <c r="N103" i="3" s="1"/>
  <c r="K104" i="3"/>
  <c r="N104" i="3" s="1"/>
  <c r="K105" i="3"/>
  <c r="N105" i="3" s="1"/>
  <c r="K99" i="3"/>
  <c r="N99" i="3" s="1"/>
  <c r="K100" i="3"/>
  <c r="N100" i="3" s="1"/>
  <c r="K101" i="3"/>
  <c r="N101" i="3" s="1"/>
  <c r="K98" i="3"/>
  <c r="N98" i="3" s="1"/>
  <c r="K95" i="3"/>
  <c r="N95" i="3" s="1"/>
  <c r="K96" i="3"/>
  <c r="N96" i="3" s="1"/>
  <c r="K97" i="3"/>
  <c r="N97" i="3" s="1"/>
  <c r="K94" i="3"/>
  <c r="N94" i="3" s="1"/>
  <c r="K91" i="3"/>
  <c r="N91" i="3" s="1"/>
  <c r="K92" i="3"/>
  <c r="N92" i="3" s="1"/>
  <c r="K93" i="3"/>
  <c r="N93" i="3" s="1"/>
  <c r="K90" i="3"/>
  <c r="N90" i="3" s="1"/>
  <c r="K87" i="3"/>
  <c r="N87" i="3" s="1"/>
  <c r="K88" i="3"/>
  <c r="N88" i="3" s="1"/>
  <c r="K89" i="3"/>
  <c r="N89" i="3" s="1"/>
  <c r="K86" i="3"/>
  <c r="N86" i="3" s="1"/>
  <c r="K83" i="3"/>
  <c r="N83" i="3" s="1"/>
  <c r="K84" i="3"/>
  <c r="N84" i="3" s="1"/>
  <c r="K85" i="3"/>
  <c r="N85" i="3" s="1"/>
  <c r="K82" i="3"/>
  <c r="N82" i="3" s="1"/>
  <c r="K79" i="3"/>
  <c r="N79" i="3" s="1"/>
  <c r="K80" i="3"/>
  <c r="N80" i="3" s="1"/>
  <c r="K81" i="3"/>
  <c r="N81" i="3" s="1"/>
  <c r="K78" i="3"/>
  <c r="N78" i="3" s="1"/>
  <c r="K75" i="3"/>
  <c r="N75" i="3" s="1"/>
  <c r="K76" i="3"/>
  <c r="N76" i="3" s="1"/>
  <c r="K77" i="3"/>
  <c r="N77" i="3" s="1"/>
  <c r="K74" i="3"/>
  <c r="N74" i="3" s="1"/>
  <c r="K71" i="3"/>
  <c r="N71" i="3" s="1"/>
  <c r="K72" i="3"/>
  <c r="N72" i="3" s="1"/>
  <c r="K73" i="3"/>
  <c r="N73" i="3" s="1"/>
  <c r="K70" i="3"/>
  <c r="N70" i="3" s="1"/>
  <c r="K67" i="3"/>
  <c r="N67" i="3" s="1"/>
  <c r="K68" i="3"/>
  <c r="N68" i="3" s="1"/>
  <c r="K69" i="3"/>
  <c r="N69" i="3" s="1"/>
  <c r="K66" i="3"/>
  <c r="N66" i="3" s="1"/>
  <c r="K47" i="3"/>
  <c r="N47" i="3" s="1"/>
  <c r="K48" i="3"/>
  <c r="N48" i="3" s="1"/>
  <c r="N49" i="3"/>
  <c r="K46" i="3"/>
  <c r="N46" i="3" s="1"/>
  <c r="K43" i="3"/>
  <c r="N43" i="3" s="1"/>
  <c r="K44" i="3"/>
  <c r="N44" i="3" s="1"/>
  <c r="K45" i="3"/>
  <c r="N45" i="3" s="1"/>
  <c r="K42" i="3"/>
  <c r="N42" i="3" s="1"/>
  <c r="K39" i="3"/>
  <c r="N39" i="3" s="1"/>
  <c r="K40" i="3"/>
  <c r="N40" i="3" s="1"/>
  <c r="K41" i="3"/>
  <c r="N41" i="3" s="1"/>
  <c r="K38" i="3"/>
  <c r="N38" i="3" s="1"/>
  <c r="K35" i="3"/>
  <c r="N35" i="3" s="1"/>
  <c r="K36" i="3"/>
  <c r="N36" i="3" s="1"/>
  <c r="K37" i="3"/>
  <c r="N37" i="3" s="1"/>
  <c r="K34" i="3"/>
  <c r="N34" i="3" s="1"/>
  <c r="K31" i="3"/>
  <c r="N31" i="3" s="1"/>
  <c r="K32" i="3"/>
  <c r="N32" i="3" s="1"/>
  <c r="K33" i="3"/>
  <c r="N33" i="3" s="1"/>
  <c r="K30" i="3"/>
  <c r="N30" i="3" s="1"/>
  <c r="K27" i="3"/>
  <c r="N27" i="3" s="1"/>
  <c r="K28" i="3"/>
  <c r="N28" i="3" s="1"/>
  <c r="K29" i="3"/>
  <c r="N29" i="3" s="1"/>
  <c r="K26" i="3"/>
  <c r="N26" i="3" s="1"/>
  <c r="L142" i="3"/>
  <c r="L138" i="3"/>
  <c r="L134" i="3"/>
  <c r="L130" i="3"/>
  <c r="L126" i="3"/>
  <c r="L122" i="3"/>
  <c r="L118" i="3"/>
  <c r="L114" i="3"/>
  <c r="L110" i="3"/>
  <c r="L106" i="3"/>
  <c r="L102" i="3"/>
  <c r="L98" i="3"/>
  <c r="L94" i="3"/>
  <c r="L90" i="3"/>
  <c r="L86" i="3"/>
  <c r="L82" i="3"/>
  <c r="L78" i="3"/>
  <c r="L74" i="3"/>
  <c r="L70" i="3"/>
  <c r="L66" i="3"/>
  <c r="L62" i="3"/>
  <c r="L58" i="3"/>
  <c r="L54" i="3"/>
  <c r="L50" i="3"/>
  <c r="L46" i="3"/>
  <c r="L42" i="3"/>
  <c r="L38" i="3"/>
  <c r="L34" i="3"/>
  <c r="L30" i="3"/>
  <c r="L26" i="3"/>
  <c r="K23" i="3"/>
  <c r="N23" i="3" s="1"/>
  <c r="K24" i="3"/>
  <c r="N24" i="3" s="1"/>
  <c r="K25" i="3"/>
  <c r="N25" i="3" s="1"/>
  <c r="K22" i="3"/>
  <c r="E142" i="3"/>
  <c r="E138" i="3"/>
  <c r="E134" i="3"/>
  <c r="E130" i="3"/>
  <c r="E126" i="3"/>
  <c r="E122" i="3"/>
  <c r="E118" i="3"/>
  <c r="E114" i="3"/>
  <c r="E110" i="3"/>
  <c r="E106" i="3"/>
  <c r="E102" i="3"/>
  <c r="E98" i="3"/>
  <c r="E94" i="3"/>
  <c r="E90" i="3"/>
  <c r="E86" i="3"/>
  <c r="E82" i="3"/>
  <c r="E78" i="3"/>
  <c r="E74" i="3"/>
  <c r="E70" i="3"/>
  <c r="E66" i="3"/>
  <c r="E46" i="3"/>
  <c r="E42" i="3"/>
  <c r="E38" i="3"/>
  <c r="E34" i="3"/>
  <c r="E30" i="3"/>
  <c r="E26" i="3"/>
  <c r="E22" i="3"/>
  <c r="I2" i="1"/>
  <c r="I13" i="1"/>
  <c r="D10" i="1"/>
  <c r="D6" i="1"/>
  <c r="J2" i="1"/>
  <c r="D2" i="1"/>
  <c r="K19" i="3"/>
  <c r="N19" i="3" s="1"/>
  <c r="K20" i="3"/>
  <c r="N20" i="3" s="1"/>
  <c r="K21" i="3"/>
  <c r="N21" i="3" s="1"/>
  <c r="K18" i="3"/>
  <c r="N18" i="3" s="1"/>
  <c r="L18" i="3"/>
  <c r="E18" i="3"/>
  <c r="K15" i="3"/>
  <c r="N15" i="3" s="1"/>
  <c r="K16" i="3"/>
  <c r="N16" i="3" s="1"/>
  <c r="K17" i="3"/>
  <c r="N17" i="3" s="1"/>
  <c r="K14" i="3"/>
  <c r="E14" i="3"/>
  <c r="K11" i="3"/>
  <c r="N11" i="3" s="1"/>
  <c r="K12" i="3"/>
  <c r="N12" i="3" s="1"/>
  <c r="K13" i="3"/>
  <c r="N13" i="3" s="1"/>
  <c r="K10" i="3"/>
  <c r="E10" i="3"/>
  <c r="E6" i="3"/>
  <c r="K7" i="3"/>
  <c r="N7" i="3" s="1"/>
  <c r="K8" i="3"/>
  <c r="N8" i="3" s="1"/>
  <c r="K9" i="3"/>
  <c r="N9" i="3" s="1"/>
  <c r="K6" i="3"/>
  <c r="K3" i="3"/>
  <c r="N3" i="3" s="1"/>
  <c r="K4" i="3"/>
  <c r="N4" i="3" s="1"/>
  <c r="K5" i="3"/>
  <c r="N5" i="3" s="1"/>
  <c r="K2" i="3"/>
  <c r="L2" i="3" s="1"/>
  <c r="E2" i="3"/>
  <c r="F15" i="4"/>
  <c r="F16" i="4"/>
  <c r="F17" i="4"/>
  <c r="F3" i="2"/>
  <c r="G3" i="2"/>
  <c r="H3" i="2"/>
  <c r="F4" i="2"/>
  <c r="G4" i="2"/>
  <c r="H4" i="2"/>
  <c r="F5" i="2"/>
  <c r="G5" i="2"/>
  <c r="H5" i="2"/>
  <c r="F6" i="2"/>
  <c r="G6" i="2"/>
  <c r="H6" i="2"/>
  <c r="F7" i="2"/>
  <c r="G7" i="2"/>
  <c r="H7" i="2"/>
  <c r="F8" i="2"/>
  <c r="G8" i="2"/>
  <c r="H8" i="2"/>
  <c r="F9" i="2"/>
  <c r="G9" i="2"/>
  <c r="H9" i="2"/>
  <c r="F10" i="2"/>
  <c r="G10" i="2"/>
  <c r="H10" i="2"/>
  <c r="F11" i="2"/>
  <c r="G11" i="2"/>
  <c r="H11" i="2"/>
  <c r="F12" i="2"/>
  <c r="G12" i="2"/>
  <c r="H12" i="2"/>
  <c r="F13" i="2"/>
  <c r="G13" i="2"/>
  <c r="H13" i="2"/>
  <c r="H2" i="2"/>
  <c r="G2" i="2"/>
  <c r="F2" i="2"/>
  <c r="F3" i="4"/>
  <c r="G3" i="4"/>
  <c r="H3" i="4"/>
  <c r="F4" i="4"/>
  <c r="G4" i="4"/>
  <c r="H4" i="4"/>
  <c r="F5" i="4"/>
  <c r="G5" i="4"/>
  <c r="H5" i="4"/>
  <c r="F6" i="4"/>
  <c r="G6" i="4"/>
  <c r="H6" i="4"/>
  <c r="F7" i="4"/>
  <c r="G7" i="4"/>
  <c r="H7" i="4"/>
  <c r="F8" i="4"/>
  <c r="G8" i="4"/>
  <c r="H8" i="4"/>
  <c r="F9" i="4"/>
  <c r="G9" i="4"/>
  <c r="H9" i="4"/>
  <c r="F10" i="4"/>
  <c r="G10" i="4"/>
  <c r="H10" i="4"/>
  <c r="F11" i="4"/>
  <c r="G11" i="4"/>
  <c r="H11" i="4"/>
  <c r="F12" i="4"/>
  <c r="G12" i="4"/>
  <c r="H12" i="4"/>
  <c r="F13" i="4"/>
  <c r="G13" i="4"/>
  <c r="H13" i="4"/>
  <c r="G14" i="4"/>
  <c r="G15" i="4"/>
  <c r="H15" i="4"/>
  <c r="G16" i="4"/>
  <c r="H16" i="4"/>
  <c r="G17" i="4"/>
  <c r="H17" i="4"/>
  <c r="F18" i="4"/>
  <c r="G18" i="4"/>
  <c r="H18" i="4"/>
  <c r="F19" i="4"/>
  <c r="G19" i="4"/>
  <c r="H19" i="4"/>
  <c r="F20" i="4"/>
  <c r="G20" i="4"/>
  <c r="H20" i="4"/>
  <c r="F21" i="4"/>
  <c r="G21" i="4"/>
  <c r="H21" i="4"/>
  <c r="F22" i="4"/>
  <c r="G22" i="4"/>
  <c r="H22" i="4"/>
  <c r="F23" i="4"/>
  <c r="G23" i="4"/>
  <c r="H23" i="4"/>
  <c r="F24" i="4"/>
  <c r="G24" i="4"/>
  <c r="H24" i="4"/>
  <c r="F25" i="4"/>
  <c r="G25" i="4"/>
  <c r="H25" i="4"/>
  <c r="F26" i="4"/>
  <c r="G26" i="4"/>
  <c r="H26" i="4"/>
  <c r="F27" i="4"/>
  <c r="G27" i="4"/>
  <c r="H27" i="4"/>
  <c r="F28" i="4"/>
  <c r="G28" i="4"/>
  <c r="H28" i="4"/>
  <c r="F29" i="4"/>
  <c r="G29" i="4"/>
  <c r="H29" i="4"/>
  <c r="F30" i="4"/>
  <c r="G30" i="4"/>
  <c r="H30" i="4"/>
  <c r="F31" i="4"/>
  <c r="G31" i="4"/>
  <c r="H31" i="4"/>
  <c r="F32" i="4"/>
  <c r="G32" i="4"/>
  <c r="H32" i="4"/>
  <c r="F33" i="4"/>
  <c r="G33" i="4"/>
  <c r="H33" i="4"/>
  <c r="F34" i="4"/>
  <c r="G34" i="4"/>
  <c r="H34" i="4"/>
  <c r="F35" i="4"/>
  <c r="G35" i="4"/>
  <c r="H35" i="4"/>
  <c r="F36" i="4"/>
  <c r="G36" i="4"/>
  <c r="H36" i="4"/>
  <c r="F37" i="4"/>
  <c r="G37" i="4"/>
  <c r="H37" i="4"/>
  <c r="H2" i="4"/>
  <c r="G2" i="4"/>
  <c r="F2" i="4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J41" i="1" s="1"/>
  <c r="I40" i="1"/>
  <c r="J40" i="1" s="1"/>
  <c r="I39" i="1"/>
  <c r="J39" i="1" s="1"/>
  <c r="I38" i="1"/>
  <c r="J38" i="1" s="1"/>
  <c r="K41" i="1" s="1"/>
  <c r="I37" i="1"/>
  <c r="J37" i="1" s="1"/>
  <c r="I36" i="1"/>
  <c r="J36" i="1" s="1"/>
  <c r="I35" i="1"/>
  <c r="J35" i="1" s="1"/>
  <c r="I34" i="1"/>
  <c r="J34" i="1" s="1"/>
  <c r="K37" i="1" s="1"/>
  <c r="I33" i="1"/>
  <c r="J33" i="1" s="1"/>
  <c r="I32" i="1"/>
  <c r="J32" i="1" s="1"/>
  <c r="I31" i="1"/>
  <c r="J31" i="1" s="1"/>
  <c r="I30" i="1"/>
  <c r="J30" i="1" s="1"/>
  <c r="K33" i="1" s="1"/>
  <c r="I29" i="1"/>
  <c r="J29" i="1" s="1"/>
  <c r="I28" i="1"/>
  <c r="J28" i="1" s="1"/>
  <c r="I27" i="1"/>
  <c r="J27" i="1" s="1"/>
  <c r="I26" i="1"/>
  <c r="J26" i="1" s="1"/>
  <c r="K29" i="1" s="1"/>
  <c r="I25" i="1"/>
  <c r="J25" i="1" s="1"/>
  <c r="I24" i="1"/>
  <c r="J24" i="1" s="1"/>
  <c r="I23" i="1"/>
  <c r="J23" i="1" s="1"/>
  <c r="I22" i="1"/>
  <c r="J22" i="1" s="1"/>
  <c r="K25" i="1" s="1"/>
  <c r="I21" i="1"/>
  <c r="J21" i="1" s="1"/>
  <c r="I20" i="1"/>
  <c r="J20" i="1" s="1"/>
  <c r="I19" i="1"/>
  <c r="J19" i="1" s="1"/>
  <c r="I18" i="1"/>
  <c r="J18" i="1" s="1"/>
  <c r="K21" i="1" s="1"/>
  <c r="I17" i="1"/>
  <c r="I16" i="1"/>
  <c r="I15" i="1"/>
  <c r="I14" i="1"/>
  <c r="J13" i="1"/>
  <c r="I12" i="1"/>
  <c r="J12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4" i="1"/>
  <c r="J4" i="1" s="1"/>
  <c r="I3" i="1"/>
  <c r="J3" i="1" s="1"/>
  <c r="N2" i="3" l="1"/>
  <c r="O2" i="3" s="1"/>
  <c r="L6" i="3"/>
  <c r="N6" i="3"/>
  <c r="L10" i="3"/>
  <c r="N10" i="3"/>
  <c r="L14" i="3"/>
  <c r="N14" i="3"/>
  <c r="L22" i="3"/>
  <c r="N22" i="3"/>
  <c r="O138" i="3"/>
  <c r="O134" i="3"/>
  <c r="O130" i="3"/>
  <c r="O126" i="3"/>
  <c r="O122" i="3"/>
  <c r="O118" i="3"/>
  <c r="O114" i="3"/>
  <c r="O110" i="3"/>
  <c r="O106" i="3"/>
  <c r="O102" i="3"/>
  <c r="O98" i="3"/>
  <c r="O94" i="3"/>
  <c r="O90" i="3"/>
  <c r="O86" i="3"/>
  <c r="O82" i="3"/>
  <c r="O78" i="3"/>
  <c r="O74" i="3"/>
  <c r="O70" i="3"/>
  <c r="O66" i="3"/>
  <c r="O62" i="3"/>
  <c r="O58" i="3"/>
  <c r="O54" i="3"/>
  <c r="O50" i="3"/>
  <c r="O46" i="3"/>
  <c r="O42" i="3"/>
  <c r="O38" i="3"/>
  <c r="O34" i="3"/>
  <c r="O30" i="3"/>
  <c r="O26" i="3"/>
  <c r="O22" i="3"/>
  <c r="O18" i="3"/>
  <c r="O14" i="3"/>
  <c r="O10" i="3"/>
  <c r="O6" i="3"/>
  <c r="K9" i="1"/>
  <c r="K13" i="1"/>
  <c r="K5" i="1"/>
</calcChain>
</file>

<file path=xl/sharedStrings.xml><?xml version="1.0" encoding="utf-8"?>
<sst xmlns="http://schemas.openxmlformats.org/spreadsheetml/2006/main" count="737" uniqueCount="108">
  <si>
    <t>soil label</t>
  </si>
  <si>
    <t>sample weight total (g)</t>
  </si>
  <si>
    <t>gravimetric WC</t>
  </si>
  <si>
    <t>adjusted sample weight total (g)</t>
  </si>
  <si>
    <t>mason jar #</t>
  </si>
  <si>
    <t>sieve size</t>
  </si>
  <si>
    <t>Dry weight + jar</t>
  </si>
  <si>
    <t>HMP dry weight (g)</t>
  </si>
  <si>
    <t>Change in dry weights</t>
  </si>
  <si>
    <t>Change in dry weights (g)</t>
  </si>
  <si>
    <t>Distribution (g/g)</t>
  </si>
  <si>
    <t>total (g/g)</t>
  </si>
  <si>
    <t>F1_BD_B-2</t>
  </si>
  <si>
    <t>2mm</t>
  </si>
  <si>
    <t>250um</t>
  </si>
  <si>
    <t>125um</t>
  </si>
  <si>
    <t>53um</t>
  </si>
  <si>
    <t>F2_BD_A-3</t>
  </si>
  <si>
    <t>F3_BD_A-3</t>
  </si>
  <si>
    <t>F3_BD_B-2</t>
  </si>
  <si>
    <t>F4_BD_B-3</t>
  </si>
  <si>
    <t>F2_BD_A-2</t>
  </si>
  <si>
    <t>R1_BD_B-2</t>
  </si>
  <si>
    <t>R1_BD_B-1</t>
  </si>
  <si>
    <t>F4_BD_B1</t>
  </si>
  <si>
    <t>R2_BD_B-1</t>
  </si>
  <si>
    <t>F1_BD_A-2</t>
  </si>
  <si>
    <t>F3_BD_A-1</t>
  </si>
  <si>
    <t>Label ID</t>
  </si>
  <si>
    <t xml:space="preserve">Tin label </t>
  </si>
  <si>
    <t>tare tin weight (g)</t>
  </si>
  <si>
    <t>Soil Sub sample wet weight (g)</t>
  </si>
  <si>
    <t>Soil sub sample Dry weight+ boat (g)</t>
  </si>
  <si>
    <t>soil (g)</t>
  </si>
  <si>
    <t>water (g)</t>
  </si>
  <si>
    <t>A1</t>
  </si>
  <si>
    <t>A2</t>
  </si>
  <si>
    <t>A3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</si>
  <si>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</si>
  <si>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</si>
  <si>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</si>
  <si>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</si>
  <si>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</si>
  <si>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</si>
  <si>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</si>
  <si>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</si>
  <si>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</si>
  <si>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 </t>
  </si>
  <si>
    <t>O-Dry weight + jar (g)</t>
  </si>
  <si>
    <t>post HMP O-dry weight + jar (g)</t>
  </si>
  <si>
    <t>Distribution (g/g) = w</t>
  </si>
  <si>
    <t>total water stable aggregates 53um-6mm (g/g)</t>
  </si>
  <si>
    <t xml:space="preserve">(mm)
</t>
  </si>
  <si>
    <t xml:space="preserve">xw (mm)
</t>
  </si>
  <si>
    <t>Water Stable Aggregates MWD</t>
  </si>
  <si>
    <t>R1_BD_A-1</t>
  </si>
  <si>
    <t>R2_BD_A-1</t>
  </si>
  <si>
    <t>R1_BD_B-3</t>
  </si>
  <si>
    <t>F3_BD_B-3</t>
  </si>
  <si>
    <t>F1_BD_A1</t>
  </si>
  <si>
    <t>F1_BD_B3</t>
  </si>
  <si>
    <t>R2_BD_A3</t>
  </si>
  <si>
    <t>F3_BD_B1</t>
  </si>
  <si>
    <t>F4_BD_A1</t>
  </si>
  <si>
    <t>A</t>
  </si>
  <si>
    <t>B</t>
  </si>
  <si>
    <t>C</t>
  </si>
  <si>
    <t>D</t>
  </si>
  <si>
    <t>F2_BD_A1</t>
  </si>
  <si>
    <t>E</t>
  </si>
  <si>
    <t>F</t>
  </si>
  <si>
    <t>G</t>
  </si>
  <si>
    <t>H</t>
  </si>
  <si>
    <t>F1_BD_A3</t>
  </si>
  <si>
    <t>I</t>
  </si>
  <si>
    <t>J</t>
  </si>
  <si>
    <t>K</t>
  </si>
  <si>
    <t>L</t>
  </si>
  <si>
    <t>F1_BD_B1</t>
  </si>
  <si>
    <t>M</t>
  </si>
  <si>
    <t>N</t>
  </si>
  <si>
    <t>O</t>
  </si>
  <si>
    <t>P</t>
  </si>
  <si>
    <t>R1_BD_A3</t>
  </si>
  <si>
    <t>F2_BD_B2</t>
  </si>
  <si>
    <t>R2_BD_B3</t>
  </si>
  <si>
    <t>F4_BD_A3</t>
  </si>
  <si>
    <t>F2_BD_B1</t>
  </si>
  <si>
    <t>F2_BD_B3</t>
  </si>
  <si>
    <t>R2_BD_B2</t>
  </si>
  <si>
    <t>F4_BD_B2</t>
  </si>
  <si>
    <t>F4_BD_A2</t>
  </si>
  <si>
    <t>R2_BD_A2</t>
  </si>
  <si>
    <t>F3_BD_A2</t>
  </si>
  <si>
    <t>R1_BD_A2</t>
  </si>
  <si>
    <t>from run 1</t>
  </si>
  <si>
    <t>A5</t>
  </si>
  <si>
    <t>A6</t>
  </si>
  <si>
    <t>A8</t>
  </si>
  <si>
    <t>A7</t>
  </si>
  <si>
    <t>A11</t>
  </si>
  <si>
    <t>A12</t>
  </si>
  <si>
    <t>A10</t>
  </si>
  <si>
    <t>A9</t>
  </si>
  <si>
    <t>A13</t>
  </si>
  <si>
    <t>A14</t>
  </si>
  <si>
    <t>A15</t>
  </si>
  <si>
    <t>A16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</si>
</sst>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" fillId="0" borderId="8" xfId="0" applyFont="1" applyFill="1" applyBorder="1" applyAlignment="1"/>
    <xf numFmtId="0" fontId="2" fillId="0" borderId="11" xfId="0" applyFont="1" applyFill="1" applyBorder="1" applyAlignment="1"/>
    <xf numFmtId="0" fontId="2" fillId="0" borderId="11" xfId="0" applyFont="1" applyFill="1" applyBorder="1" applyAlignment="1">
      <alignment wrapText="1"/>
    </xf>
    <xf numFmtId="0" fontId="2" fillId="0" borderId="0" xfId="0" applyFont="1" applyFill="1" applyBorder="1" applyAlignment="1">
      <alignment wrapText="1"/>
    </xf>
    <xf numFmtId="0" fontId="2" fillId="0" borderId="9" xfId="0" applyFont="1" applyFill="1" applyBorder="1" applyAlignment="1"/>
    <xf numFmtId="0" fontId="2" fillId="0" borderId="12" xfId="0" applyFont="1" applyFill="1" applyBorder="1" applyAlignment="1"/>
    <xf numFmtId="0" fontId="2" fillId="0" borderId="0" xfId="0" applyFont="1" applyFill="1" applyBorder="1" applyAlignment="1"/>
    <xf numFmtId="0" fontId="2" fillId="0" borderId="10" xfId="0" applyFont="1" applyFill="1" applyBorder="1" applyAlignment="1"/>
    <xf numFmtId="0" fontId="2" fillId="0" borderId="13" xfId="0" applyFont="1" applyFill="1" applyBorder="1" applyAlignment="1"/>
    <xf numFmtId="0" fontId="2" fillId="0" borderId="5" xfId="0" applyFont="1" applyFill="1" applyBorder="1" applyAlignment="1"/>
    <xf numFmtId="0" fontId="2" fillId="0" borderId="14" xfId="0" applyFont="1" applyFill="1" applyBorder="1" applyAlignment="1"/>
    <xf numFmtId="0" fontId="2" fillId="0" borderId="15" xfId="0" applyFont="1" applyFill="1" applyBorder="1" applyAlignment="1"/>
    <xf numFmtId="0" fontId="2" fillId="0" borderId="16" xfId="0" applyFont="1" applyFill="1" applyBorder="1" applyAlignment="1"/>
    <xf numFmtId="0" fontId="2" fillId="0" borderId="7" xfId="0" applyFont="1" applyFill="1" applyBorder="1" applyAlignment="1"/>
    <xf numFmtId="0" fontId="3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/>
    </xf>
    <xf numFmtId="0" fontId="2" fillId="0" borderId="7" xfId="0" applyFont="1" applyFill="1" applyBorder="1" applyAlignment="1">
      <alignment horizontal="center"/>
    </xf>
    <xf numFmtId="0" fontId="2" fillId="0" borderId="16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2" fillId="0" borderId="12" xfId="0" applyFont="1" applyFill="1" applyBorder="1" applyAlignment="1">
      <alignment horizontal="center"/>
    </xf>
    <xf numFmtId="0" fontId="2" fillId="0" borderId="17" xfId="0" applyFont="1" applyFill="1" applyBorder="1" applyAlignment="1">
      <alignment horizontal="center"/>
    </xf>
    <xf numFmtId="0" fontId="2" fillId="0" borderId="18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0" fillId="2" borderId="0" xfId="0" applyFill="1"/>
    <xf numFmtId="0" fontId="3" fillId="2" borderId="0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vertical="center" wrapText="1"/>
    </xf>
    <xf numFmtId="0" fontId="0" fillId="0" borderId="0" xfId="0" applyBorder="1"/>
    <xf numFmtId="0" fontId="2" fillId="2" borderId="0" xfId="0" applyFont="1" applyFill="1" applyBorder="1" applyAlignment="1"/>
    <xf numFmtId="0" fontId="0" fillId="0" borderId="0" xfId="0" applyFill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190500</xdr:colOff>
      <xdr:row>0</xdr:row>
      <xdr:rowOff>266700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8E7186-0EB1-157C-60C9-BA84693D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72400" y="0"/>
          <a:ext cx="190500" cy="2667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0</xdr:row>
      <xdr:rowOff>0</xdr:rowOff>
    </xdr:from>
    <xdr:to>
      <xdr:col>19</xdr:col>
      <xdr:colOff>314325</xdr:colOff>
      <xdr:row>0</xdr:row>
      <xdr:rowOff>657225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4BAF66B-9E10-4A55-B3D5-72087279D7B3}"/>
            </a:ext>
            <a:ext uri="{147F2762-F138-4A5C-976F-8EAC2B608ADB}">
              <a16:predDERef xmlns:a16="http://schemas.microsoft.com/office/drawing/2014/main" pred="{728E7186-0EB1-157C-60C9-BA84693D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20400" y="0"/>
          <a:ext cx="1533525" cy="65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92B0-A709-46D1-BD5C-7D3115DC5E44}">
  <dimension ref="A1:L65"/>
  <sheetViews>
    <sheetView topLeftCell="A13" workbookViewId="0">
      <selection activeCell="A46" sqref="A46:K49"/>
    </sheetView>
  </sheetViews>
  <sheetFormatPr defaultRowHeight="15" customHeight="1"/>
  <cols>
    <col min="1" max="1" width="16.5703125" style="1" customWidth="1"/>
    <col min="2" max="4" width="9.5703125" customWidth="1"/>
    <col min="11" max="11" width="13.7109375" customWidth="1"/>
  </cols>
  <sheetData>
    <row r="1" spans="1:12" ht="57.75">
      <c r="A1" s="1" t="s">
        <v>0</v>
      </c>
      <c r="B1" s="2" t="s">
        <v>1</v>
      </c>
      <c r="C1" s="15" t="s">
        <v>2</v>
      </c>
      <c r="D1" s="15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6" t="s">
        <v>9</v>
      </c>
      <c r="K1" s="16" t="s">
        <v>10</v>
      </c>
      <c r="L1" s="19" t="s">
        <v>11</v>
      </c>
    </row>
    <row r="2" spans="1:12">
      <c r="A2" s="3" t="s">
        <v>12</v>
      </c>
      <c r="B2" s="4">
        <v>25.117999999999999</v>
      </c>
      <c r="C2">
        <v>0.31578947368421051</v>
      </c>
      <c r="D2" s="4">
        <f>B2*(1-C2)</f>
        <v>17.186</v>
      </c>
      <c r="E2" s="4">
        <v>1</v>
      </c>
      <c r="F2" s="4" t="s">
        <v>13</v>
      </c>
      <c r="G2" s="4">
        <v>274.55</v>
      </c>
      <c r="H2" s="4">
        <v>267.45999999999998</v>
      </c>
      <c r="I2" s="1">
        <f>G2-H2</f>
        <v>7.0900000000000318</v>
      </c>
      <c r="J2">
        <f>I2/17.19</f>
        <v>0.41244909831297449</v>
      </c>
    </row>
    <row r="3" spans="1:12">
      <c r="A3" s="5"/>
      <c r="B3" s="1"/>
      <c r="C3" s="1"/>
      <c r="D3" s="1"/>
      <c r="E3" s="1">
        <v>2</v>
      </c>
      <c r="F3" s="1" t="s">
        <v>14</v>
      </c>
      <c r="G3" s="1">
        <v>266.52</v>
      </c>
      <c r="H3" s="1">
        <v>264.07</v>
      </c>
      <c r="I3" s="1">
        <f t="shared" ref="I3:I65" si="0">G3-H3</f>
        <v>2.4499999999999886</v>
      </c>
      <c r="J3">
        <f t="shared" ref="J3:J5" si="1">I3/17.19</f>
        <v>0.14252472367655547</v>
      </c>
    </row>
    <row r="4" spans="1:12">
      <c r="A4" s="5"/>
      <c r="B4" s="1"/>
      <c r="C4" s="1"/>
      <c r="D4" s="1"/>
      <c r="E4" s="1">
        <v>3</v>
      </c>
      <c r="F4" s="1" t="s">
        <v>15</v>
      </c>
      <c r="G4" s="1">
        <v>283.24</v>
      </c>
      <c r="H4" s="1">
        <v>283.19</v>
      </c>
      <c r="I4" s="1">
        <f t="shared" si="0"/>
        <v>5.0000000000011369E-2</v>
      </c>
      <c r="J4">
        <f t="shared" si="1"/>
        <v>2.9086678301344601E-3</v>
      </c>
    </row>
    <row r="5" spans="1:12">
      <c r="A5" s="6"/>
      <c r="B5" s="7"/>
      <c r="C5" s="7"/>
      <c r="D5" s="7"/>
      <c r="E5" s="7">
        <v>4</v>
      </c>
      <c r="F5" s="7" t="s">
        <v>16</v>
      </c>
      <c r="G5" s="7">
        <v>274.02</v>
      </c>
      <c r="H5" s="7">
        <v>273.98</v>
      </c>
      <c r="I5" s="1">
        <f t="shared" si="0"/>
        <v>3.999999999996362E-2</v>
      </c>
      <c r="J5">
        <f t="shared" si="1"/>
        <v>2.3269342641049225E-3</v>
      </c>
      <c r="K5">
        <f>SUM(J2:J5)</f>
        <v>0.56020942408376928</v>
      </c>
    </row>
    <row r="6" spans="1:12">
      <c r="A6" s="3" t="s">
        <v>17</v>
      </c>
      <c r="B6" s="4">
        <v>25.0228</v>
      </c>
      <c r="C6">
        <v>0.41433430805036692</v>
      </c>
      <c r="D6" s="4">
        <f>B6*(1-C6)</f>
        <v>14.654995476517277</v>
      </c>
      <c r="E6" s="4">
        <v>5</v>
      </c>
      <c r="F6" s="4" t="s">
        <v>13</v>
      </c>
      <c r="G6" s="4">
        <v>293.92</v>
      </c>
      <c r="H6" s="4">
        <v>288.52999999999997</v>
      </c>
      <c r="I6" s="1">
        <f t="shared" si="0"/>
        <v>5.3900000000000432</v>
      </c>
      <c r="J6">
        <f>I6/14.66</f>
        <v>0.36766712141882968</v>
      </c>
    </row>
    <row r="7" spans="1:12">
      <c r="A7" s="5"/>
      <c r="B7" s="1"/>
      <c r="C7" s="1"/>
      <c r="D7" s="1"/>
      <c r="E7" s="1">
        <v>6</v>
      </c>
      <c r="F7" s="1" t="s">
        <v>14</v>
      </c>
      <c r="G7" s="1">
        <v>291.37</v>
      </c>
      <c r="H7" s="1">
        <v>289.91000000000003</v>
      </c>
      <c r="I7" s="1">
        <f t="shared" si="0"/>
        <v>1.4599999999999795</v>
      </c>
      <c r="J7">
        <f t="shared" ref="J7:J9" si="2">I7/14.66</f>
        <v>9.9590723055933125E-2</v>
      </c>
    </row>
    <row r="8" spans="1:12">
      <c r="A8" s="5"/>
      <c r="B8" s="1"/>
      <c r="C8" s="1"/>
      <c r="D8" s="1"/>
      <c r="E8" s="1">
        <v>7</v>
      </c>
      <c r="F8" s="1" t="s">
        <v>15</v>
      </c>
      <c r="G8" s="1">
        <v>273.22000000000003</v>
      </c>
      <c r="H8" s="1">
        <v>284.62</v>
      </c>
      <c r="I8" s="1">
        <f t="shared" si="0"/>
        <v>-11.399999999999977</v>
      </c>
      <c r="J8">
        <f t="shared" si="2"/>
        <v>-0.77762619372441866</v>
      </c>
    </row>
    <row r="9" spans="1:12">
      <c r="A9" s="6"/>
      <c r="B9" s="7"/>
      <c r="C9" s="7"/>
      <c r="D9" s="7"/>
      <c r="E9" s="7">
        <v>8</v>
      </c>
      <c r="F9" s="7" t="s">
        <v>16</v>
      </c>
      <c r="G9" s="7">
        <v>284.95999999999998</v>
      </c>
      <c r="H9" s="7">
        <v>284.92</v>
      </c>
      <c r="I9" s="1">
        <f t="shared" si="0"/>
        <v>3.999999999996362E-2</v>
      </c>
      <c r="J9">
        <f t="shared" si="2"/>
        <v>2.7285129604340806E-3</v>
      </c>
      <c r="K9">
        <f>SUM(J6:J9)</f>
        <v>-0.30763983628922176</v>
      </c>
    </row>
    <row r="10" spans="1:12">
      <c r="A10" s="3" t="s">
        <v>18</v>
      </c>
      <c r="B10" s="4">
        <v>25.066199999999998</v>
      </c>
      <c r="C10">
        <v>0.40249683944374198</v>
      </c>
      <c r="D10" s="4">
        <f>B10*(1-C10)</f>
        <v>14.977133723135273</v>
      </c>
      <c r="E10" s="4">
        <v>9</v>
      </c>
      <c r="F10" s="4" t="s">
        <v>13</v>
      </c>
      <c r="G10" s="4">
        <v>286.77999999999997</v>
      </c>
      <c r="H10" s="4">
        <v>283.02</v>
      </c>
      <c r="I10" s="1">
        <f t="shared" si="0"/>
        <v>3.7599999999999909</v>
      </c>
      <c r="J10">
        <f>I10/14.98</f>
        <v>0.25100133511348405</v>
      </c>
    </row>
    <row r="11" spans="1:12">
      <c r="A11" s="5"/>
      <c r="B11" s="1"/>
      <c r="C11" s="1"/>
      <c r="D11" s="1"/>
      <c r="E11" s="1">
        <v>10</v>
      </c>
      <c r="F11" s="1" t="s">
        <v>14</v>
      </c>
      <c r="G11" s="1">
        <v>278.95</v>
      </c>
      <c r="H11" s="1">
        <v>277.88</v>
      </c>
      <c r="I11" s="1">
        <f t="shared" si="0"/>
        <v>1.0699999999999932</v>
      </c>
      <c r="J11">
        <f t="shared" ref="J11:J13" si="3">I11/14.98</f>
        <v>7.1428571428570967E-2</v>
      </c>
    </row>
    <row r="12" spans="1:12">
      <c r="A12" s="5"/>
      <c r="B12" s="1"/>
      <c r="C12" s="1"/>
      <c r="D12" s="1"/>
      <c r="E12" s="1">
        <v>11</v>
      </c>
      <c r="F12" s="1" t="s">
        <v>15</v>
      </c>
      <c r="G12" s="1">
        <v>261.02999999999997</v>
      </c>
      <c r="H12" s="1">
        <v>260.94</v>
      </c>
      <c r="I12" s="1">
        <f t="shared" si="0"/>
        <v>8.9999999999974989E-2</v>
      </c>
      <c r="J12">
        <f t="shared" si="3"/>
        <v>6.0080106809062075E-3</v>
      </c>
    </row>
    <row r="13" spans="1:12">
      <c r="A13" s="6"/>
      <c r="B13" s="7"/>
      <c r="C13" s="7"/>
      <c r="D13" s="7"/>
      <c r="E13" s="7">
        <v>12</v>
      </c>
      <c r="F13" s="7" t="s">
        <v>16</v>
      </c>
      <c r="G13" s="7">
        <v>292.39999999999998</v>
      </c>
      <c r="H13" s="7">
        <v>273.2</v>
      </c>
      <c r="I13" s="1">
        <f>G13-H13</f>
        <v>19.199999999999989</v>
      </c>
      <c r="J13">
        <f t="shared" si="3"/>
        <v>1.2817089452603463</v>
      </c>
      <c r="K13">
        <f>SUM(J10:J13)</f>
        <v>1.6101468624833075</v>
      </c>
    </row>
    <row r="14" spans="1:12">
      <c r="A14" s="3" t="s">
        <v>19</v>
      </c>
      <c r="B14" s="4">
        <v>25.001300000000001</v>
      </c>
      <c r="C14">
        <v>0.27580332025833032</v>
      </c>
      <c r="D14" s="4">
        <f>B14*(1-C14)</f>
        <v>18.105858449225405</v>
      </c>
      <c r="E14" s="4">
        <v>13</v>
      </c>
      <c r="F14" s="4" t="s">
        <v>13</v>
      </c>
      <c r="G14" s="4">
        <v>284.82</v>
      </c>
      <c r="H14" s="4">
        <v>285.27</v>
      </c>
      <c r="I14" s="1">
        <f t="shared" si="0"/>
        <v>-0.44999999999998863</v>
      </c>
      <c r="J14">
        <f>I14/18.1</f>
        <v>-2.4861878453038045E-2</v>
      </c>
    </row>
    <row r="15" spans="1:12">
      <c r="A15" s="5"/>
      <c r="B15" s="1"/>
      <c r="C15" s="1"/>
      <c r="D15" s="1"/>
      <c r="E15" s="1">
        <v>14</v>
      </c>
      <c r="F15" s="1" t="s">
        <v>14</v>
      </c>
      <c r="G15" s="1">
        <v>279.37</v>
      </c>
      <c r="H15" s="1">
        <v>275.87</v>
      </c>
      <c r="I15" s="1">
        <f t="shared" si="0"/>
        <v>3.5</v>
      </c>
      <c r="J15">
        <f t="shared" ref="J15:J17" si="4">I15/18.1</f>
        <v>0.19337016574585633</v>
      </c>
    </row>
    <row r="16" spans="1:12">
      <c r="A16" s="5"/>
      <c r="B16" s="1"/>
      <c r="C16" s="1"/>
      <c r="D16" s="1"/>
      <c r="E16" s="1">
        <v>15</v>
      </c>
      <c r="F16" s="1" t="s">
        <v>15</v>
      </c>
      <c r="G16" s="1">
        <v>286.37</v>
      </c>
      <c r="H16" s="1">
        <v>285.94</v>
      </c>
      <c r="I16" s="1">
        <f t="shared" si="0"/>
        <v>0.43000000000000682</v>
      </c>
      <c r="J16">
        <f t="shared" si="4"/>
        <v>2.3756906077348441E-2</v>
      </c>
    </row>
    <row r="17" spans="1:11">
      <c r="A17" s="6"/>
      <c r="B17" s="7"/>
      <c r="C17" s="7"/>
      <c r="D17" s="7"/>
      <c r="E17" s="7">
        <v>16</v>
      </c>
      <c r="F17" s="7" t="s">
        <v>16</v>
      </c>
      <c r="G17" s="7">
        <v>275.44</v>
      </c>
      <c r="H17" s="7">
        <v>275.24</v>
      </c>
      <c r="I17" s="1">
        <f t="shared" si="0"/>
        <v>0.19999999999998863</v>
      </c>
      <c r="J17">
        <f t="shared" si="4"/>
        <v>1.1049723756905449E-2</v>
      </c>
      <c r="K17">
        <f>SUM(J14:J17)</f>
        <v>0.20331491712707217</v>
      </c>
    </row>
    <row r="18" spans="1:11">
      <c r="A18" s="4" t="s">
        <v>20</v>
      </c>
      <c r="B18" s="4">
        <v>25.09</v>
      </c>
      <c r="C18">
        <v>0.19957184512604739</v>
      </c>
      <c r="D18" s="4">
        <f>B18*(1-C18)</f>
        <v>20.082742405787471</v>
      </c>
      <c r="E18" s="4">
        <v>1</v>
      </c>
      <c r="F18" s="4" t="s">
        <v>13</v>
      </c>
      <c r="G18" s="4">
        <v>262.04000000000002</v>
      </c>
      <c r="H18" s="4">
        <v>261.02999999999997</v>
      </c>
      <c r="I18" s="1">
        <f t="shared" si="0"/>
        <v>1.0100000000000477</v>
      </c>
      <c r="J18">
        <f>I18/20.08</f>
        <v>5.0298804780878878E-2</v>
      </c>
    </row>
    <row r="19" spans="1:11">
      <c r="B19" s="1"/>
      <c r="C19" s="1"/>
      <c r="D19" s="1"/>
      <c r="E19" s="1">
        <v>2</v>
      </c>
      <c r="F19" s="1" t="s">
        <v>14</v>
      </c>
      <c r="G19" s="1">
        <v>273.10000000000002</v>
      </c>
      <c r="H19" s="1">
        <v>268.14999999999998</v>
      </c>
      <c r="I19" s="1">
        <f t="shared" si="0"/>
        <v>4.9500000000000455</v>
      </c>
      <c r="J19">
        <f t="shared" ref="J19:J21" si="5">I19/20.08</f>
        <v>0.24651394422310985</v>
      </c>
    </row>
    <row r="20" spans="1:11">
      <c r="E20" s="1">
        <v>3</v>
      </c>
      <c r="F20" s="1" t="s">
        <v>15</v>
      </c>
      <c r="G20" s="1">
        <v>285.63</v>
      </c>
      <c r="H20" s="1">
        <v>283.87</v>
      </c>
      <c r="I20" s="1">
        <f t="shared" si="0"/>
        <v>1.7599999999999909</v>
      </c>
      <c r="J20">
        <f t="shared" si="5"/>
        <v>8.7649402390437808E-2</v>
      </c>
    </row>
    <row r="21" spans="1:11">
      <c r="A21" s="8"/>
      <c r="B21" s="9"/>
      <c r="C21" s="9"/>
      <c r="D21" s="9"/>
      <c r="E21" s="8">
        <v>4</v>
      </c>
      <c r="F21" s="8" t="s">
        <v>16</v>
      </c>
      <c r="G21" s="8">
        <v>275.26</v>
      </c>
      <c r="H21" s="8">
        <v>274.76</v>
      </c>
      <c r="I21" s="1">
        <f t="shared" si="0"/>
        <v>0.5</v>
      </c>
      <c r="J21">
        <f t="shared" si="5"/>
        <v>2.4900398406374504E-2</v>
      </c>
      <c r="K21">
        <f>SUM(J18:J21)</f>
        <v>0.409362549800801</v>
      </c>
    </row>
    <row r="22" spans="1:11">
      <c r="A22" s="1" t="s">
        <v>21</v>
      </c>
      <c r="B22">
        <v>25.06</v>
      </c>
      <c r="C22">
        <v>0.41928996828834408</v>
      </c>
      <c r="D22" s="4">
        <f>B22*(1-C22)</f>
        <v>14.552593394694096</v>
      </c>
      <c r="E22" s="1">
        <v>5</v>
      </c>
      <c r="F22" s="1" t="s">
        <v>13</v>
      </c>
      <c r="G22" s="1">
        <v>273.27999999999997</v>
      </c>
      <c r="H22" s="1">
        <v>269.89999999999998</v>
      </c>
      <c r="I22" s="1">
        <f t="shared" si="0"/>
        <v>3.3799999999999955</v>
      </c>
      <c r="J22">
        <f>I22/14.55</f>
        <v>0.23230240549828146</v>
      </c>
    </row>
    <row r="23" spans="1:11">
      <c r="E23" s="1">
        <v>6</v>
      </c>
      <c r="F23" s="1" t="s">
        <v>14</v>
      </c>
      <c r="G23" s="1">
        <v>291.04000000000002</v>
      </c>
      <c r="H23" s="1">
        <v>289.83999999999997</v>
      </c>
      <c r="I23" s="1">
        <f t="shared" si="0"/>
        <v>1.2000000000000455</v>
      </c>
      <c r="J23">
        <f t="shared" ref="J23:J25" si="6">I23/14.55</f>
        <v>8.2474226804126832E-2</v>
      </c>
    </row>
    <row r="24" spans="1:11">
      <c r="E24" s="1">
        <v>7</v>
      </c>
      <c r="F24" s="1" t="s">
        <v>15</v>
      </c>
      <c r="G24" s="1">
        <v>286.13</v>
      </c>
      <c r="H24" s="1">
        <v>286.02999999999997</v>
      </c>
      <c r="I24" s="1">
        <f t="shared" si="0"/>
        <v>0.10000000000002274</v>
      </c>
      <c r="J24">
        <f t="shared" si="6"/>
        <v>6.8728522336785379E-3</v>
      </c>
    </row>
    <row r="25" spans="1:11">
      <c r="A25" s="8"/>
      <c r="B25" s="9"/>
      <c r="C25" s="40"/>
      <c r="D25" s="40"/>
      <c r="E25" s="7">
        <v>8</v>
      </c>
      <c r="F25" s="7" t="s">
        <v>16</v>
      </c>
      <c r="G25" s="7">
        <v>284.83</v>
      </c>
      <c r="H25" s="7">
        <v>284.77999999999997</v>
      </c>
      <c r="I25" s="1">
        <f t="shared" si="0"/>
        <v>5.0000000000011369E-2</v>
      </c>
      <c r="J25">
        <f t="shared" si="6"/>
        <v>3.436426116839269E-3</v>
      </c>
      <c r="K25">
        <f>SUM(J22:J25)</f>
        <v>0.32508591065292608</v>
      </c>
    </row>
    <row r="26" spans="1:11">
      <c r="A26" s="1" t="s">
        <v>22</v>
      </c>
      <c r="B26">
        <v>25</v>
      </c>
      <c r="C26">
        <v>0.2890041656841939</v>
      </c>
      <c r="D26" s="4">
        <f>B26*(1-C26)</f>
        <v>17.774895857895149</v>
      </c>
      <c r="E26" s="4">
        <v>9</v>
      </c>
      <c r="F26" s="4" t="s">
        <v>13</v>
      </c>
      <c r="G26" s="4">
        <v>284.17</v>
      </c>
      <c r="H26" s="4">
        <v>275.99</v>
      </c>
      <c r="I26" s="1">
        <f t="shared" si="0"/>
        <v>8.1800000000000068</v>
      </c>
      <c r="J26">
        <f>I26/17.77</f>
        <v>0.460326392796849</v>
      </c>
    </row>
    <row r="27" spans="1:11">
      <c r="E27" s="1">
        <v>10</v>
      </c>
      <c r="F27" s="1" t="s">
        <v>14</v>
      </c>
      <c r="G27" s="1">
        <v>278.3</v>
      </c>
      <c r="H27" s="1">
        <v>275.75</v>
      </c>
      <c r="I27" s="1">
        <f t="shared" si="0"/>
        <v>2.5500000000000114</v>
      </c>
      <c r="J27">
        <f t="shared" ref="J27:J29" si="7">I27/17.77</f>
        <v>0.14350028137310136</v>
      </c>
    </row>
    <row r="28" spans="1:11">
      <c r="E28" s="1">
        <v>11</v>
      </c>
      <c r="F28" s="1" t="s">
        <v>15</v>
      </c>
      <c r="G28" s="1">
        <v>261.23</v>
      </c>
      <c r="H28" s="1">
        <v>260.95</v>
      </c>
      <c r="I28" s="1">
        <f t="shared" si="0"/>
        <v>0.28000000000002956</v>
      </c>
      <c r="J28">
        <f t="shared" si="7"/>
        <v>1.5756893640969587E-2</v>
      </c>
    </row>
    <row r="29" spans="1:11">
      <c r="A29" s="8"/>
      <c r="B29" s="9"/>
      <c r="C29" s="9"/>
      <c r="D29" s="9"/>
      <c r="E29" s="8">
        <v>12</v>
      </c>
      <c r="F29" s="7" t="s">
        <v>16</v>
      </c>
      <c r="G29" s="7">
        <v>273.66000000000003</v>
      </c>
      <c r="H29" s="7">
        <v>273.45</v>
      </c>
      <c r="I29" s="1">
        <f t="shared" si="0"/>
        <v>0.21000000000003638</v>
      </c>
      <c r="J29">
        <f t="shared" si="7"/>
        <v>1.1817670230727989E-2</v>
      </c>
      <c r="K29">
        <f>SUM(J26:J29)</f>
        <v>0.63140123804164794</v>
      </c>
    </row>
    <row r="30" spans="1:11">
      <c r="A30" s="1" t="s">
        <v>23</v>
      </c>
      <c r="B30">
        <v>25.04</v>
      </c>
      <c r="C30">
        <v>0.22230984299949838</v>
      </c>
      <c r="D30" s="4">
        <f>B30*(1-C30)</f>
        <v>19.473361531292561</v>
      </c>
      <c r="E30" s="1">
        <v>13</v>
      </c>
      <c r="F30" s="4" t="s">
        <v>13</v>
      </c>
      <c r="G30" s="4">
        <v>300.26</v>
      </c>
      <c r="H30" s="4">
        <v>294.89</v>
      </c>
      <c r="I30" s="1">
        <f t="shared" si="0"/>
        <v>5.3700000000000045</v>
      </c>
      <c r="J30">
        <f>I30/19.47</f>
        <v>0.27580893682588625</v>
      </c>
    </row>
    <row r="31" spans="1:11">
      <c r="E31" s="1">
        <v>14</v>
      </c>
      <c r="F31" s="1" t="s">
        <v>14</v>
      </c>
      <c r="G31" s="1">
        <v>276.14</v>
      </c>
      <c r="H31" s="1">
        <v>274.35000000000002</v>
      </c>
      <c r="I31" s="1">
        <f t="shared" si="0"/>
        <v>1.7899999999999636</v>
      </c>
      <c r="J31">
        <f t="shared" ref="J31:J33" si="8">I31/19.47</f>
        <v>9.1936312275293461E-2</v>
      </c>
    </row>
    <row r="32" spans="1:11">
      <c r="E32" s="1">
        <v>15</v>
      </c>
      <c r="F32" s="1" t="s">
        <v>15</v>
      </c>
      <c r="G32" s="1">
        <v>286.14999999999998</v>
      </c>
      <c r="H32" s="1">
        <v>285.88</v>
      </c>
      <c r="I32" s="1">
        <f t="shared" si="0"/>
        <v>0.26999999999998181</v>
      </c>
      <c r="J32">
        <f t="shared" si="8"/>
        <v>1.3867488443758697E-2</v>
      </c>
    </row>
    <row r="33" spans="1:11">
      <c r="A33" s="8"/>
      <c r="B33" s="9"/>
      <c r="C33" s="9"/>
      <c r="D33" s="9"/>
      <c r="E33" s="8">
        <v>16</v>
      </c>
      <c r="F33" s="7" t="s">
        <v>16</v>
      </c>
      <c r="G33" s="7">
        <v>275.22000000000003</v>
      </c>
      <c r="H33" s="7">
        <v>275.13</v>
      </c>
      <c r="I33" s="1">
        <f t="shared" si="0"/>
        <v>9.0000000000031832E-2</v>
      </c>
      <c r="J33">
        <f t="shared" si="8"/>
        <v>4.6224961479215121E-3</v>
      </c>
      <c r="K33">
        <f>SUM(J30:J33)</f>
        <v>0.38623523369285995</v>
      </c>
    </row>
    <row r="34" spans="1:11">
      <c r="A34" s="3" t="s">
        <v>24</v>
      </c>
      <c r="B34" s="4">
        <v>25.01</v>
      </c>
      <c r="C34">
        <v>0.21725617877756409</v>
      </c>
      <c r="D34" s="4">
        <f>B34*(1-C34)</f>
        <v>19.576422968773123</v>
      </c>
      <c r="E34" s="4">
        <v>1</v>
      </c>
      <c r="F34" s="4" t="s">
        <v>13</v>
      </c>
      <c r="G34" s="4">
        <v>266.74</v>
      </c>
      <c r="H34" s="4">
        <v>260.95</v>
      </c>
      <c r="I34" s="1">
        <f t="shared" si="0"/>
        <v>5.7900000000000205</v>
      </c>
      <c r="J34">
        <f>I34/19.58</f>
        <v>0.29570990806945968</v>
      </c>
    </row>
    <row r="35" spans="1:11">
      <c r="A35" s="5"/>
      <c r="B35" s="1"/>
      <c r="C35" s="1"/>
      <c r="D35" s="1"/>
      <c r="E35" s="1">
        <v>2</v>
      </c>
      <c r="F35" s="1" t="s">
        <v>14</v>
      </c>
      <c r="G35" s="1">
        <v>272.55</v>
      </c>
      <c r="H35" s="1">
        <v>267.92</v>
      </c>
      <c r="I35" s="1">
        <f t="shared" si="0"/>
        <v>4.6299999999999955</v>
      </c>
      <c r="J35">
        <f t="shared" ref="J35:J37" si="9">I35/19.58</f>
        <v>0.23646578140960142</v>
      </c>
    </row>
    <row r="36" spans="1:11">
      <c r="A36" s="5"/>
      <c r="B36" s="1"/>
      <c r="C36" s="1"/>
      <c r="D36" s="1"/>
      <c r="E36" s="1">
        <v>3</v>
      </c>
      <c r="F36" s="1" t="s">
        <v>15</v>
      </c>
      <c r="G36" s="1">
        <v>284.58999999999997</v>
      </c>
      <c r="H36" s="1">
        <v>283.68</v>
      </c>
      <c r="I36" s="1">
        <f t="shared" si="0"/>
        <v>0.90999999999996817</v>
      </c>
      <c r="J36">
        <f t="shared" si="9"/>
        <v>4.6475995914196537E-2</v>
      </c>
    </row>
    <row r="37" spans="1:11">
      <c r="A37" s="6"/>
      <c r="B37" s="7"/>
      <c r="C37" s="7"/>
      <c r="D37" s="7"/>
      <c r="E37" s="7">
        <v>4</v>
      </c>
      <c r="F37" s="7" t="s">
        <v>16</v>
      </c>
      <c r="G37" s="7">
        <v>274.62</v>
      </c>
      <c r="H37" s="7">
        <v>274.52</v>
      </c>
      <c r="I37" s="1">
        <f t="shared" si="0"/>
        <v>0.10000000000002274</v>
      </c>
      <c r="J37">
        <f t="shared" si="9"/>
        <v>5.1072522982646956E-3</v>
      </c>
      <c r="K37">
        <f>SUM(J34:J37)</f>
        <v>0.58375893769152232</v>
      </c>
    </row>
    <row r="38" spans="1:11">
      <c r="A38" s="3" t="s">
        <v>25</v>
      </c>
      <c r="B38" s="4">
        <v>25.01</v>
      </c>
      <c r="C38">
        <v>0.18958091201203262</v>
      </c>
      <c r="D38" s="4">
        <f>B38*(1-C38)</f>
        <v>20.268581390579065</v>
      </c>
      <c r="E38" s="4">
        <v>5</v>
      </c>
      <c r="F38" s="4" t="s">
        <v>13</v>
      </c>
      <c r="G38" s="4">
        <v>272.20999999999998</v>
      </c>
      <c r="H38" s="4">
        <v>262.66000000000003</v>
      </c>
      <c r="I38" s="1">
        <f t="shared" si="0"/>
        <v>9.5499999999999545</v>
      </c>
      <c r="J38">
        <f>I38/20.27</f>
        <v>0.47113961519486702</v>
      </c>
    </row>
    <row r="39" spans="1:11">
      <c r="A39" s="5"/>
      <c r="B39" s="1"/>
      <c r="C39" s="1"/>
      <c r="D39" s="1"/>
      <c r="E39" s="1">
        <v>6</v>
      </c>
      <c r="F39" s="1" t="s">
        <v>14</v>
      </c>
      <c r="G39" s="1">
        <v>292.69</v>
      </c>
      <c r="H39" s="1">
        <v>286.93</v>
      </c>
      <c r="I39" s="1">
        <f t="shared" si="0"/>
        <v>5.7599999999999909</v>
      </c>
      <c r="J39">
        <f t="shared" ref="J39:J41" si="10">I39/20.27</f>
        <v>0.28416378885051757</v>
      </c>
    </row>
    <row r="40" spans="1:11">
      <c r="A40" s="5"/>
      <c r="B40" s="1"/>
      <c r="C40" s="1"/>
      <c r="D40" s="1"/>
      <c r="E40" s="1">
        <v>7</v>
      </c>
      <c r="F40" s="1" t="s">
        <v>15</v>
      </c>
      <c r="G40" s="1">
        <v>286.79000000000002</v>
      </c>
      <c r="H40" s="1">
        <v>285.92</v>
      </c>
      <c r="I40" s="1">
        <f t="shared" si="0"/>
        <v>0.87000000000000455</v>
      </c>
      <c r="J40">
        <f t="shared" si="10"/>
        <v>4.2920572274297214E-2</v>
      </c>
    </row>
    <row r="41" spans="1:11">
      <c r="A41" s="6"/>
      <c r="B41" s="7"/>
      <c r="C41" s="7"/>
      <c r="D41" s="7"/>
      <c r="E41" s="7">
        <v>8</v>
      </c>
      <c r="F41" s="7" t="s">
        <v>16</v>
      </c>
      <c r="G41" s="7">
        <v>285.10000000000002</v>
      </c>
      <c r="H41" s="7">
        <v>284.81</v>
      </c>
      <c r="I41" s="1">
        <f t="shared" si="0"/>
        <v>0.29000000000002046</v>
      </c>
      <c r="J41">
        <f t="shared" si="10"/>
        <v>1.4306857424766674E-2</v>
      </c>
      <c r="K41">
        <f>SUM(J38:J41)</f>
        <v>0.81253083374444846</v>
      </c>
    </row>
    <row r="42" spans="1:11">
      <c r="A42" s="3" t="s">
        <v>26</v>
      </c>
      <c r="B42" s="4">
        <v>25</v>
      </c>
      <c r="C42">
        <v>0.32163524360649592</v>
      </c>
      <c r="D42" s="4">
        <f>B42*(1-C42)</f>
        <v>16.959118909837599</v>
      </c>
      <c r="E42" s="4">
        <v>9</v>
      </c>
      <c r="F42" s="4" t="s">
        <v>13</v>
      </c>
      <c r="G42" s="4">
        <v>287.44</v>
      </c>
      <c r="H42" s="4">
        <v>275.18</v>
      </c>
      <c r="I42" s="1">
        <f t="shared" si="0"/>
        <v>12.259999999999991</v>
      </c>
      <c r="J42">
        <f>I42/16.96</f>
        <v>0.72287735849056545</v>
      </c>
    </row>
    <row r="43" spans="1:11">
      <c r="A43" s="5"/>
      <c r="B43" s="1"/>
      <c r="D43" s="1"/>
      <c r="E43" s="1">
        <v>10</v>
      </c>
      <c r="F43" s="1" t="s">
        <v>14</v>
      </c>
      <c r="G43" s="1">
        <v>279.52999999999997</v>
      </c>
      <c r="H43" s="1">
        <v>274.93</v>
      </c>
      <c r="I43" s="1">
        <f t="shared" si="0"/>
        <v>4.5999999999999659</v>
      </c>
      <c r="J43">
        <f t="shared" ref="J43:J45" si="11">I43/16.96</f>
        <v>0.27122641509433759</v>
      </c>
    </row>
    <row r="44" spans="1:11">
      <c r="A44" s="5"/>
      <c r="B44" s="1"/>
      <c r="C44" s="1"/>
      <c r="D44" s="1"/>
      <c r="E44" s="1">
        <v>11</v>
      </c>
      <c r="F44" s="1" t="s">
        <v>15</v>
      </c>
      <c r="G44" s="1">
        <v>261.27999999999997</v>
      </c>
      <c r="H44" s="1">
        <v>260.81</v>
      </c>
      <c r="I44" s="1">
        <f t="shared" si="0"/>
        <v>0.46999999999997044</v>
      </c>
      <c r="J44">
        <f t="shared" si="11"/>
        <v>2.7712264150941652E-2</v>
      </c>
    </row>
    <row r="45" spans="1:11">
      <c r="A45" s="6"/>
      <c r="B45" s="7"/>
      <c r="C45" s="7"/>
      <c r="D45" s="7"/>
      <c r="E45" s="7">
        <v>12</v>
      </c>
      <c r="F45" s="7" t="s">
        <v>16</v>
      </c>
      <c r="G45" s="7">
        <v>273.16000000000003</v>
      </c>
      <c r="H45" s="7">
        <v>273.12</v>
      </c>
      <c r="I45" s="1">
        <f t="shared" si="0"/>
        <v>4.0000000000020464E-2</v>
      </c>
      <c r="J45">
        <f t="shared" si="11"/>
        <v>2.3584905660389423E-3</v>
      </c>
      <c r="K45">
        <f>SUM(J42:J45)</f>
        <v>1.0241745283018837</v>
      </c>
    </row>
    <row r="46" spans="1:11">
      <c r="A46" s="3" t="s">
        <v>27</v>
      </c>
      <c r="B46" s="4">
        <v>25.01</v>
      </c>
      <c r="C46">
        <v>0.29919273461150342</v>
      </c>
      <c r="D46" s="4">
        <f>B46*(1-C46)</f>
        <v>17.527189707366301</v>
      </c>
      <c r="E46" s="4">
        <v>13</v>
      </c>
      <c r="F46" s="4" t="s">
        <v>13</v>
      </c>
      <c r="G46" s="4">
        <v>288.89</v>
      </c>
      <c r="H46" s="4">
        <v>284.07</v>
      </c>
      <c r="I46" s="1">
        <f t="shared" si="0"/>
        <v>4.8199999999999932</v>
      </c>
      <c r="J46">
        <f>I46/17.53</f>
        <v>0.27495721620079822</v>
      </c>
    </row>
    <row r="47" spans="1:11">
      <c r="A47" s="5"/>
      <c r="B47" s="1"/>
      <c r="C47" s="1"/>
      <c r="D47" s="1"/>
      <c r="E47" s="1">
        <v>14</v>
      </c>
      <c r="F47" s="1" t="s">
        <v>14</v>
      </c>
      <c r="G47" s="1">
        <v>284.42</v>
      </c>
      <c r="H47" s="1">
        <v>274.20999999999998</v>
      </c>
      <c r="I47" s="1">
        <f t="shared" si="0"/>
        <v>10.210000000000036</v>
      </c>
      <c r="J47">
        <f t="shared" ref="J47:J49" si="12">I47/17.53</f>
        <v>0.58243011979463977</v>
      </c>
    </row>
    <row r="48" spans="1:11">
      <c r="A48" s="5"/>
      <c r="B48" s="1"/>
      <c r="C48" s="1"/>
      <c r="D48" s="1"/>
      <c r="E48" s="1">
        <v>15</v>
      </c>
      <c r="F48" s="1" t="s">
        <v>15</v>
      </c>
      <c r="G48" s="1">
        <v>287.7</v>
      </c>
      <c r="H48" s="1">
        <v>286.83</v>
      </c>
      <c r="I48" s="1">
        <f t="shared" si="0"/>
        <v>0.87000000000000455</v>
      </c>
      <c r="J48">
        <f t="shared" si="12"/>
        <v>4.9629207073588394E-2</v>
      </c>
    </row>
    <row r="49" spans="1:11">
      <c r="A49" s="6"/>
      <c r="B49" s="7"/>
      <c r="C49" s="7"/>
      <c r="D49" s="7"/>
      <c r="E49" s="7">
        <v>16</v>
      </c>
      <c r="F49" s="7" t="s">
        <v>16</v>
      </c>
      <c r="G49" s="7">
        <v>275.52</v>
      </c>
      <c r="H49" s="7">
        <v>275.37</v>
      </c>
      <c r="I49" s="1">
        <f t="shared" si="0"/>
        <v>0.14999999999997726</v>
      </c>
      <c r="J49">
        <f t="shared" si="12"/>
        <v>8.5567598402725188E-3</v>
      </c>
      <c r="K49">
        <f>SUM(J46:J49)</f>
        <v>0.91557330290929895</v>
      </c>
    </row>
    <row r="50" spans="1:11">
      <c r="A50" s="4"/>
      <c r="B50" s="4"/>
      <c r="C50" s="4"/>
      <c r="D50" s="4"/>
      <c r="E50" s="4">
        <v>1</v>
      </c>
      <c r="F50" s="4" t="s">
        <v>13</v>
      </c>
      <c r="G50" s="4"/>
      <c r="H50" s="4"/>
      <c r="I50" s="1">
        <f t="shared" si="0"/>
        <v>0</v>
      </c>
    </row>
    <row r="51" spans="1:11">
      <c r="B51" s="1"/>
      <c r="C51" s="1"/>
      <c r="D51" s="1"/>
      <c r="E51" s="1">
        <v>2</v>
      </c>
      <c r="F51" s="1" t="s">
        <v>14</v>
      </c>
      <c r="G51" s="1"/>
      <c r="H51" s="1"/>
      <c r="I51" s="1">
        <f t="shared" si="0"/>
        <v>0</v>
      </c>
    </row>
    <row r="52" spans="1:11">
      <c r="E52" s="1">
        <v>3</v>
      </c>
      <c r="F52" s="1" t="s">
        <v>15</v>
      </c>
      <c r="G52" s="1"/>
      <c r="H52" s="1"/>
      <c r="I52" s="1">
        <f t="shared" si="0"/>
        <v>0</v>
      </c>
    </row>
    <row r="53" spans="1:11">
      <c r="A53" s="8"/>
      <c r="B53" s="9"/>
      <c r="C53" s="9"/>
      <c r="D53" s="9"/>
      <c r="E53" s="8">
        <v>4</v>
      </c>
      <c r="F53" s="8" t="s">
        <v>16</v>
      </c>
      <c r="G53" s="8"/>
      <c r="H53" s="8"/>
      <c r="I53" s="1">
        <f t="shared" si="0"/>
        <v>0</v>
      </c>
    </row>
    <row r="54" spans="1:11">
      <c r="E54" s="1">
        <v>5</v>
      </c>
      <c r="F54" s="1" t="s">
        <v>13</v>
      </c>
      <c r="G54" s="1"/>
      <c r="H54" s="1"/>
      <c r="I54" s="1">
        <f t="shared" si="0"/>
        <v>0</v>
      </c>
    </row>
    <row r="55" spans="1:11">
      <c r="E55" s="1">
        <v>6</v>
      </c>
      <c r="F55" s="1" t="s">
        <v>14</v>
      </c>
      <c r="G55" s="1"/>
      <c r="H55" s="1"/>
      <c r="I55" s="1">
        <f t="shared" si="0"/>
        <v>0</v>
      </c>
    </row>
    <row r="56" spans="1:11">
      <c r="E56" s="1">
        <v>7</v>
      </c>
      <c r="F56" s="1" t="s">
        <v>15</v>
      </c>
      <c r="G56" s="1"/>
      <c r="H56" s="1"/>
      <c r="I56" s="1">
        <f t="shared" si="0"/>
        <v>0</v>
      </c>
    </row>
    <row r="57" spans="1:11">
      <c r="A57" s="8"/>
      <c r="B57" s="9"/>
      <c r="C57" s="40"/>
      <c r="D57" s="40"/>
      <c r="E57" s="7">
        <v>8</v>
      </c>
      <c r="F57" s="7" t="s">
        <v>16</v>
      </c>
      <c r="G57" s="7"/>
      <c r="H57" s="7"/>
      <c r="I57" s="1">
        <f t="shared" si="0"/>
        <v>0</v>
      </c>
    </row>
    <row r="58" spans="1:11">
      <c r="E58" s="4">
        <v>9</v>
      </c>
      <c r="F58" s="4" t="s">
        <v>13</v>
      </c>
      <c r="G58" s="4"/>
      <c r="H58" s="4"/>
      <c r="I58" s="1">
        <f t="shared" si="0"/>
        <v>0</v>
      </c>
    </row>
    <row r="59" spans="1:11">
      <c r="E59" s="1">
        <v>10</v>
      </c>
      <c r="F59" s="1" t="s">
        <v>14</v>
      </c>
      <c r="G59" s="1"/>
      <c r="H59" s="1"/>
      <c r="I59" s="1">
        <f t="shared" si="0"/>
        <v>0</v>
      </c>
    </row>
    <row r="60" spans="1:11">
      <c r="E60" s="1">
        <v>11</v>
      </c>
      <c r="F60" s="1" t="s">
        <v>15</v>
      </c>
      <c r="G60" s="1"/>
      <c r="H60" s="1"/>
      <c r="I60" s="1">
        <f t="shared" si="0"/>
        <v>0</v>
      </c>
    </row>
    <row r="61" spans="1:11">
      <c r="A61" s="8"/>
      <c r="B61" s="9"/>
      <c r="C61" s="9"/>
      <c r="D61" s="9"/>
      <c r="E61" s="8">
        <v>12</v>
      </c>
      <c r="F61" s="7" t="s">
        <v>16</v>
      </c>
      <c r="G61" s="7"/>
      <c r="H61" s="7"/>
      <c r="I61" s="1">
        <f t="shared" si="0"/>
        <v>0</v>
      </c>
    </row>
    <row r="62" spans="1:11">
      <c r="E62" s="1">
        <v>13</v>
      </c>
      <c r="F62" s="4" t="s">
        <v>13</v>
      </c>
      <c r="G62" s="4"/>
      <c r="H62" s="4"/>
      <c r="I62" s="1">
        <f t="shared" si="0"/>
        <v>0</v>
      </c>
    </row>
    <row r="63" spans="1:11">
      <c r="E63" s="1">
        <v>14</v>
      </c>
      <c r="F63" s="1" t="s">
        <v>14</v>
      </c>
      <c r="G63" s="1"/>
      <c r="H63" s="1"/>
      <c r="I63" s="1">
        <f t="shared" si="0"/>
        <v>0</v>
      </c>
    </row>
    <row r="64" spans="1:11">
      <c r="E64" s="1">
        <v>15</v>
      </c>
      <c r="F64" s="1" t="s">
        <v>15</v>
      </c>
      <c r="G64" s="1"/>
      <c r="H64" s="1"/>
      <c r="I64" s="1">
        <f t="shared" si="0"/>
        <v>0</v>
      </c>
    </row>
    <row r="65" spans="1:9">
      <c r="A65" s="8"/>
      <c r="B65" s="9"/>
      <c r="C65" s="9"/>
      <c r="D65" s="9"/>
      <c r="E65" s="8">
        <v>16</v>
      </c>
      <c r="F65" s="7" t="s">
        <v>16</v>
      </c>
      <c r="G65" s="7"/>
      <c r="H65" s="7"/>
      <c r="I65" s="1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E6560-53AD-42C5-86E7-BB52E9592DDE}">
  <dimension ref="A1:I13"/>
  <sheetViews>
    <sheetView workbookViewId="0">
      <selection activeCell="I5" sqref="I5"/>
    </sheetView>
  </sheetViews>
  <sheetFormatPr defaultRowHeight="14.45"/>
  <cols>
    <col min="1" max="1" width="14" style="1" customWidth="1"/>
    <col min="2" max="5" width="8.7109375" style="1"/>
  </cols>
  <sheetData>
    <row r="1" spans="1:9" ht="72.75">
      <c r="A1" s="10" t="s">
        <v>28</v>
      </c>
      <c r="B1" s="10" t="s">
        <v>29</v>
      </c>
      <c r="C1" s="11" t="s">
        <v>30</v>
      </c>
      <c r="D1" s="39" t="s">
        <v>31</v>
      </c>
      <c r="E1" s="11" t="s">
        <v>32</v>
      </c>
      <c r="F1" s="29" t="s">
        <v>33</v>
      </c>
      <c r="G1" s="29" t="s">
        <v>34</v>
      </c>
      <c r="H1" t="s">
        <v>2</v>
      </c>
    </row>
    <row r="2" spans="1:9">
      <c r="A2" s="12" t="s">
        <v>12</v>
      </c>
      <c r="B2" s="12" t="s">
        <v>35</v>
      </c>
      <c r="C2" s="12">
        <v>1.29</v>
      </c>
      <c r="D2" s="12">
        <v>2.79</v>
      </c>
      <c r="E2" s="12">
        <v>3.4104000000000001</v>
      </c>
      <c r="F2">
        <f>E2-C2</f>
        <v>2.1204000000000001</v>
      </c>
      <c r="G2">
        <f>D2-F2</f>
        <v>0.66959999999999997</v>
      </c>
      <c r="H2">
        <f>G2/F2</f>
        <v>0.31578947368421051</v>
      </c>
      <c r="I2">
        <v>0.31578947368421051</v>
      </c>
    </row>
    <row r="3" spans="1:9">
      <c r="A3" s="12" t="s">
        <v>17</v>
      </c>
      <c r="B3" s="12" t="s">
        <v>36</v>
      </c>
      <c r="C3" s="12">
        <v>1.28</v>
      </c>
      <c r="D3" s="12">
        <v>2.37</v>
      </c>
      <c r="E3" s="12">
        <v>2.9557000000000002</v>
      </c>
      <c r="F3">
        <f t="shared" ref="F3:F13" si="0">E3-C3</f>
        <v>1.6757000000000002</v>
      </c>
      <c r="G3">
        <f t="shared" ref="G3:G13" si="1">D3-F3</f>
        <v>0.69429999999999992</v>
      </c>
      <c r="H3">
        <f t="shared" ref="H3:I13" si="2">G3/F3</f>
        <v>0.41433430805036692</v>
      </c>
      <c r="I3">
        <v>0.41433430805036692</v>
      </c>
    </row>
    <row r="4" spans="1:9">
      <c r="A4" s="12" t="s">
        <v>18</v>
      </c>
      <c r="B4" s="12" t="s">
        <v>37</v>
      </c>
      <c r="C4" s="12">
        <v>1.29</v>
      </c>
      <c r="D4" s="12">
        <v>3.55</v>
      </c>
      <c r="E4" s="12">
        <v>3.8212000000000002</v>
      </c>
      <c r="F4">
        <f t="shared" si="0"/>
        <v>2.5312000000000001</v>
      </c>
      <c r="G4">
        <f t="shared" si="1"/>
        <v>1.0187999999999997</v>
      </c>
      <c r="H4">
        <f t="shared" si="2"/>
        <v>0.40249683944374198</v>
      </c>
      <c r="I4">
        <v>0.40249683944374198</v>
      </c>
    </row>
    <row r="5" spans="1:9">
      <c r="A5" s="12" t="s">
        <v>19</v>
      </c>
      <c r="B5" s="12" t="s">
        <v>38</v>
      </c>
      <c r="C5" s="12">
        <v>1.3</v>
      </c>
      <c r="D5" s="12">
        <v>3.22</v>
      </c>
      <c r="E5" s="12">
        <v>3.8239000000000001</v>
      </c>
      <c r="F5">
        <f t="shared" si="0"/>
        <v>2.5239000000000003</v>
      </c>
      <c r="G5">
        <f t="shared" si="1"/>
        <v>0.69609999999999994</v>
      </c>
      <c r="H5">
        <f t="shared" si="2"/>
        <v>0.27580332025833032</v>
      </c>
      <c r="I5">
        <v>0.27580332025833032</v>
      </c>
    </row>
    <row r="6" spans="1:9">
      <c r="A6" s="12" t="s">
        <v>20</v>
      </c>
      <c r="B6" s="12" t="s">
        <v>39</v>
      </c>
      <c r="C6" s="12">
        <v>1.29</v>
      </c>
      <c r="D6" s="12">
        <v>3.25</v>
      </c>
      <c r="E6" s="12">
        <v>3.9992999999999999</v>
      </c>
      <c r="F6">
        <f t="shared" si="0"/>
        <v>2.7092999999999998</v>
      </c>
      <c r="G6">
        <f t="shared" si="1"/>
        <v>0.54070000000000018</v>
      </c>
      <c r="H6">
        <f t="shared" si="2"/>
        <v>0.19957184512604739</v>
      </c>
      <c r="I6">
        <v>0.19957184512604739</v>
      </c>
    </row>
    <row r="7" spans="1:9">
      <c r="A7" s="12" t="s">
        <v>21</v>
      </c>
      <c r="B7" s="12" t="s">
        <v>40</v>
      </c>
      <c r="C7" s="12">
        <v>1.28</v>
      </c>
      <c r="D7" s="12">
        <v>3.67</v>
      </c>
      <c r="E7" s="12">
        <v>3.8658000000000001</v>
      </c>
      <c r="F7">
        <f t="shared" si="0"/>
        <v>2.5857999999999999</v>
      </c>
      <c r="G7">
        <f t="shared" si="1"/>
        <v>1.0842000000000001</v>
      </c>
      <c r="H7">
        <f t="shared" si="2"/>
        <v>0.41928996828834408</v>
      </c>
      <c r="I7">
        <v>0.41928996828834408</v>
      </c>
    </row>
    <row r="8" spans="1:9">
      <c r="A8" s="12" t="s">
        <v>22</v>
      </c>
      <c r="B8" s="12" t="s">
        <v>41</v>
      </c>
      <c r="C8" s="12">
        <v>1.28</v>
      </c>
      <c r="D8" s="12">
        <v>3.28</v>
      </c>
      <c r="E8" s="12">
        <v>3.8246000000000002</v>
      </c>
      <c r="F8">
        <f t="shared" si="0"/>
        <v>2.5446</v>
      </c>
      <c r="G8">
        <f t="shared" si="1"/>
        <v>0.73539999999999983</v>
      </c>
      <c r="H8">
        <f t="shared" si="2"/>
        <v>0.2890041656841939</v>
      </c>
      <c r="I8">
        <v>0.2890041656841939</v>
      </c>
    </row>
    <row r="9" spans="1:9">
      <c r="A9" s="12" t="s">
        <v>23</v>
      </c>
      <c r="B9" s="12" t="s">
        <v>42</v>
      </c>
      <c r="C9" s="12">
        <v>1.29</v>
      </c>
      <c r="D9" s="12">
        <v>3.41</v>
      </c>
      <c r="E9" s="12">
        <v>4.0797999999999996</v>
      </c>
      <c r="F9">
        <f t="shared" si="0"/>
        <v>2.7897999999999996</v>
      </c>
      <c r="G9">
        <f t="shared" si="1"/>
        <v>0.62020000000000053</v>
      </c>
      <c r="H9">
        <f t="shared" si="2"/>
        <v>0.22230984299949838</v>
      </c>
      <c r="I9">
        <v>0.22230984299949838</v>
      </c>
    </row>
    <row r="10" spans="1:9">
      <c r="A10" s="12" t="s">
        <v>24</v>
      </c>
      <c r="B10" s="12" t="s">
        <v>43</v>
      </c>
      <c r="C10" s="12">
        <v>1.72</v>
      </c>
      <c r="D10" s="12">
        <v>3.29</v>
      </c>
      <c r="E10" s="12">
        <v>4.4227999999999996</v>
      </c>
      <c r="F10">
        <f t="shared" si="0"/>
        <v>2.7027999999999999</v>
      </c>
      <c r="G10">
        <f t="shared" si="1"/>
        <v>0.58720000000000017</v>
      </c>
      <c r="H10">
        <f t="shared" si="2"/>
        <v>0.21725617877756409</v>
      </c>
      <c r="I10">
        <v>0.21725617877756409</v>
      </c>
    </row>
    <row r="11" spans="1:9">
      <c r="A11" s="12" t="s">
        <v>25</v>
      </c>
      <c r="B11" s="12" t="s">
        <v>44</v>
      </c>
      <c r="C11" s="12">
        <v>1.7</v>
      </c>
      <c r="D11" s="12">
        <v>3.48</v>
      </c>
      <c r="E11" s="12">
        <v>4.6254</v>
      </c>
      <c r="F11">
        <f t="shared" si="0"/>
        <v>2.9253999999999998</v>
      </c>
      <c r="G11">
        <f t="shared" si="1"/>
        <v>0.5546000000000002</v>
      </c>
      <c r="H11">
        <f t="shared" si="2"/>
        <v>0.18958091201203262</v>
      </c>
      <c r="I11">
        <v>0.18958091201203262</v>
      </c>
    </row>
    <row r="12" spans="1:9">
      <c r="A12" s="12" t="s">
        <v>26</v>
      </c>
      <c r="B12" s="12" t="s">
        <v>45</v>
      </c>
      <c r="C12" s="12">
        <v>1.64</v>
      </c>
      <c r="D12" s="12">
        <v>3.54</v>
      </c>
      <c r="E12" s="12">
        <v>4.3185000000000002</v>
      </c>
      <c r="F12">
        <f t="shared" si="0"/>
        <v>2.6785000000000005</v>
      </c>
      <c r="G12">
        <f t="shared" si="1"/>
        <v>0.86149999999999949</v>
      </c>
      <c r="H12">
        <f t="shared" si="2"/>
        <v>0.32163524360649592</v>
      </c>
      <c r="I12">
        <v>0.32163524360649592</v>
      </c>
    </row>
    <row r="13" spans="1:9">
      <c r="A13" s="12" t="s">
        <v>27</v>
      </c>
      <c r="B13" s="12" t="s">
        <v>46</v>
      </c>
      <c r="C13" s="12">
        <v>1.67</v>
      </c>
      <c r="D13" s="12">
        <v>3.09</v>
      </c>
      <c r="E13" s="12">
        <v>4.0484</v>
      </c>
      <c r="F13">
        <f t="shared" si="0"/>
        <v>2.3784000000000001</v>
      </c>
      <c r="G13">
        <f t="shared" si="1"/>
        <v>0.71159999999999979</v>
      </c>
      <c r="H13">
        <f t="shared" si="2"/>
        <v>0.29919273461150342</v>
      </c>
      <c r="I13">
        <v>0.29919273461150342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70989-9A1F-4549-8183-8042E6ECE5DF}">
  <dimension ref="A1:P158"/>
  <sheetViews>
    <sheetView tabSelected="1" topLeftCell="A112" workbookViewId="0">
      <selection activeCell="A147" sqref="A147"/>
    </sheetView>
  </sheetViews>
  <sheetFormatPr defaultRowHeight="15"/>
  <cols>
    <col min="2" max="2" width="16" customWidth="1"/>
    <col min="11" max="11" width="11.140625" customWidth="1"/>
    <col min="12" max="12" width="10.5703125" customWidth="1"/>
  </cols>
  <sheetData>
    <row r="1" spans="1:15" ht="72.75">
      <c r="A1" s="13" t="s">
        <v>47</v>
      </c>
      <c r="B1" s="14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4" t="s">
        <v>5</v>
      </c>
      <c r="H1" s="15" t="s">
        <v>48</v>
      </c>
      <c r="I1" s="15" t="s">
        <v>49</v>
      </c>
      <c r="J1" s="16" t="s">
        <v>9</v>
      </c>
      <c r="K1" s="19" t="s">
        <v>50</v>
      </c>
      <c r="L1" s="16" t="s">
        <v>51</v>
      </c>
      <c r="M1" s="16" t="s">
        <v>52</v>
      </c>
      <c r="N1" s="16" t="s">
        <v>53</v>
      </c>
      <c r="O1" s="16" t="s">
        <v>54</v>
      </c>
    </row>
    <row r="2" spans="1:15">
      <c r="A2" s="17">
        <v>4</v>
      </c>
      <c r="B2" s="18" t="s">
        <v>18</v>
      </c>
      <c r="C2" s="18">
        <v>24.97</v>
      </c>
      <c r="D2">
        <v>0.32947976878612723</v>
      </c>
      <c r="E2" s="18">
        <f>C2*(1-D2)</f>
        <v>16.742890173410402</v>
      </c>
      <c r="F2" s="18">
        <v>1</v>
      </c>
      <c r="G2" s="19" t="s">
        <v>13</v>
      </c>
      <c r="H2" s="17">
        <v>268.31</v>
      </c>
      <c r="I2" s="18">
        <v>260.89</v>
      </c>
      <c r="J2" s="19">
        <v>7.42</v>
      </c>
      <c r="K2" s="19">
        <f>J2/16.74</f>
        <v>0.44324970131421748</v>
      </c>
      <c r="L2" s="19">
        <f>SUM(K2:K5)</f>
        <v>1.0173237753882916</v>
      </c>
      <c r="M2">
        <f>(6000-2000)/2000</f>
        <v>2</v>
      </c>
      <c r="N2" s="19">
        <f>K2*M2</f>
        <v>0.88649940262843496</v>
      </c>
      <c r="O2" s="19">
        <f>SUM(N2:N5)</f>
        <v>1.3157350657108722</v>
      </c>
    </row>
    <row r="3" spans="1:15">
      <c r="A3" s="17" t="s">
        <v>47</v>
      </c>
      <c r="B3" s="18" t="s">
        <v>47</v>
      </c>
      <c r="C3" s="18" t="s">
        <v>47</v>
      </c>
      <c r="D3" s="18"/>
      <c r="E3" s="18"/>
      <c r="F3" s="18">
        <v>2</v>
      </c>
      <c r="G3" s="19" t="s">
        <v>14</v>
      </c>
      <c r="H3" s="17">
        <v>271.58</v>
      </c>
      <c r="I3" s="18">
        <v>263.45999999999998</v>
      </c>
      <c r="J3" s="19">
        <v>8.1199999999999992</v>
      </c>
      <c r="K3" s="19">
        <f t="shared" ref="K3:K5" si="0">J3/16.74</f>
        <v>0.48506571087216249</v>
      </c>
      <c r="L3" s="19"/>
      <c r="M3" s="19">
        <f>(2000-250)/2000</f>
        <v>0.875</v>
      </c>
      <c r="N3" s="19">
        <f t="shared" ref="N3:N66" si="1">K3*M3</f>
        <v>0.42443249701314217</v>
      </c>
      <c r="O3" s="19"/>
    </row>
    <row r="4" spans="1:15">
      <c r="A4" s="17" t="s">
        <v>47</v>
      </c>
      <c r="B4" s="18" t="s">
        <v>47</v>
      </c>
      <c r="C4" s="18" t="s">
        <v>47</v>
      </c>
      <c r="D4" s="18"/>
      <c r="E4" s="18"/>
      <c r="F4" s="18">
        <v>3</v>
      </c>
      <c r="G4" s="19" t="s">
        <v>15</v>
      </c>
      <c r="H4" s="17">
        <v>284.16000000000003</v>
      </c>
      <c r="I4" s="18">
        <v>283.14999999999998</v>
      </c>
      <c r="J4" s="19">
        <v>1.01</v>
      </c>
      <c r="K4" s="19">
        <f t="shared" si="0"/>
        <v>6.033452807646357E-2</v>
      </c>
      <c r="L4" s="19"/>
      <c r="M4" s="19">
        <f>(250-125)/2000</f>
        <v>6.25E-2</v>
      </c>
      <c r="N4" s="19">
        <f t="shared" si="1"/>
        <v>3.7709080047789731E-3</v>
      </c>
      <c r="O4" s="19"/>
    </row>
    <row r="5" spans="1:15">
      <c r="A5" s="20" t="s">
        <v>47</v>
      </c>
      <c r="B5" s="21" t="s">
        <v>47</v>
      </c>
      <c r="C5" s="21" t="s">
        <v>47</v>
      </c>
      <c r="D5" s="21"/>
      <c r="E5" s="21"/>
      <c r="F5" s="21">
        <v>4</v>
      </c>
      <c r="G5" s="22" t="s">
        <v>16</v>
      </c>
      <c r="H5" s="20">
        <v>274.52999999999997</v>
      </c>
      <c r="I5" s="21">
        <v>274.05</v>
      </c>
      <c r="J5" s="19">
        <v>0.48</v>
      </c>
      <c r="K5" s="19">
        <f t="shared" si="0"/>
        <v>2.8673835125448029E-2</v>
      </c>
      <c r="L5" s="19"/>
      <c r="M5" s="19">
        <f>(125-53)/2000</f>
        <v>3.5999999999999997E-2</v>
      </c>
      <c r="N5" s="19">
        <f t="shared" si="1"/>
        <v>1.0322580645161289E-3</v>
      </c>
      <c r="O5" s="19"/>
    </row>
    <row r="6" spans="1:15">
      <c r="A6" s="17">
        <v>1</v>
      </c>
      <c r="B6" s="18" t="s">
        <v>24</v>
      </c>
      <c r="C6" s="18">
        <v>25.01</v>
      </c>
      <c r="D6">
        <v>0.20093457943925219</v>
      </c>
      <c r="E6" s="18">
        <f>C6*(1-D6)</f>
        <v>19.984626168224302</v>
      </c>
      <c r="F6" s="18">
        <v>5</v>
      </c>
      <c r="G6" s="19" t="s">
        <v>13</v>
      </c>
      <c r="H6" s="17">
        <v>278.87</v>
      </c>
      <c r="I6" s="18">
        <v>262.07</v>
      </c>
      <c r="J6" s="19">
        <v>16.8</v>
      </c>
      <c r="K6" s="19">
        <f>J6/19.98</f>
        <v>0.84084084084084088</v>
      </c>
      <c r="L6" s="19">
        <f>SUM(K6:K9)</f>
        <v>0.97647647647647651</v>
      </c>
      <c r="M6">
        <v>2</v>
      </c>
      <c r="N6" s="19">
        <f t="shared" si="1"/>
        <v>1.6816816816816818</v>
      </c>
      <c r="O6" s="19">
        <f>SUM(N6:N9)</f>
        <v>1.790916916916917</v>
      </c>
    </row>
    <row r="7" spans="1:15">
      <c r="A7" s="17" t="s">
        <v>47</v>
      </c>
      <c r="B7" s="18" t="s">
        <v>47</v>
      </c>
      <c r="C7" s="18" t="s">
        <v>47</v>
      </c>
      <c r="D7" s="18"/>
      <c r="E7" s="18"/>
      <c r="F7" s="18">
        <v>6</v>
      </c>
      <c r="G7" s="19" t="s">
        <v>14</v>
      </c>
      <c r="H7" s="17">
        <v>288.39999999999998</v>
      </c>
      <c r="I7" s="18">
        <v>285.92</v>
      </c>
      <c r="J7" s="19">
        <v>2.48</v>
      </c>
      <c r="K7" s="19">
        <f t="shared" ref="K7:K9" si="2">J7/19.98</f>
        <v>0.12412412412412412</v>
      </c>
      <c r="L7" s="19"/>
      <c r="M7" s="19">
        <v>0.875</v>
      </c>
      <c r="N7" s="19">
        <f t="shared" si="1"/>
        <v>0.1086086086086086</v>
      </c>
      <c r="O7" s="19"/>
    </row>
    <row r="8" spans="1:15">
      <c r="A8" s="17" t="s">
        <v>47</v>
      </c>
      <c r="B8" s="18" t="s">
        <v>47</v>
      </c>
      <c r="C8" s="18" t="s">
        <v>47</v>
      </c>
      <c r="D8" s="18"/>
      <c r="E8" s="18"/>
      <c r="F8" s="18">
        <v>7</v>
      </c>
      <c r="G8" s="19" t="s">
        <v>15</v>
      </c>
      <c r="H8" s="17">
        <v>285.95</v>
      </c>
      <c r="I8" s="18">
        <v>285.79000000000002</v>
      </c>
      <c r="J8" s="19">
        <v>0.16</v>
      </c>
      <c r="K8" s="19">
        <f t="shared" si="2"/>
        <v>8.0080080080080079E-3</v>
      </c>
      <c r="L8" s="19"/>
      <c r="M8" s="19">
        <v>6.25E-2</v>
      </c>
      <c r="N8" s="19">
        <f t="shared" si="1"/>
        <v>5.005005005005005E-4</v>
      </c>
      <c r="O8" s="19"/>
    </row>
    <row r="9" spans="1:15">
      <c r="A9" s="20" t="s">
        <v>47</v>
      </c>
      <c r="B9" s="21" t="s">
        <v>47</v>
      </c>
      <c r="C9" s="21" t="s">
        <v>47</v>
      </c>
      <c r="D9" s="21"/>
      <c r="E9" s="21"/>
      <c r="F9" s="21">
        <v>8</v>
      </c>
      <c r="G9" s="22" t="s">
        <v>16</v>
      </c>
      <c r="H9" s="20">
        <v>284.8</v>
      </c>
      <c r="I9" s="21">
        <v>284.73</v>
      </c>
      <c r="J9" s="19">
        <v>7.0000000000000007E-2</v>
      </c>
      <c r="K9" s="19">
        <f t="shared" si="2"/>
        <v>3.5035035035035039E-3</v>
      </c>
      <c r="L9" s="19"/>
      <c r="M9" s="19">
        <v>3.5999999999999997E-2</v>
      </c>
      <c r="N9" s="19">
        <f t="shared" si="1"/>
        <v>1.2612612612612612E-4</v>
      </c>
      <c r="O9" s="19"/>
    </row>
    <row r="10" spans="1:15">
      <c r="A10" s="17">
        <v>2</v>
      </c>
      <c r="B10" s="18" t="s">
        <v>25</v>
      </c>
      <c r="C10" s="18">
        <v>25.04</v>
      </c>
      <c r="D10" s="18">
        <v>0.16400000000000001</v>
      </c>
      <c r="E10" s="18">
        <f>C10*(1-D10)</f>
        <v>20.933439999999997</v>
      </c>
      <c r="F10" s="18">
        <v>9</v>
      </c>
      <c r="G10" s="19" t="s">
        <v>13</v>
      </c>
      <c r="H10" s="17">
        <v>288.18</v>
      </c>
      <c r="I10" s="18">
        <v>275.23</v>
      </c>
      <c r="J10" s="19">
        <v>12.95</v>
      </c>
      <c r="K10" s="19">
        <f>J10/20.93</f>
        <v>0.61872909698996648</v>
      </c>
      <c r="L10" s="19">
        <f>SUM(K10:K13)</f>
        <v>0.87625418060200655</v>
      </c>
      <c r="M10">
        <v>2</v>
      </c>
      <c r="N10" s="19">
        <f t="shared" si="1"/>
        <v>1.237458193979933</v>
      </c>
      <c r="O10" s="19">
        <f>SUM(N10:N13)</f>
        <v>1.3335224558050645</v>
      </c>
    </row>
    <row r="11" spans="1:15">
      <c r="A11" s="17" t="s">
        <v>47</v>
      </c>
      <c r="B11" s="18" t="s">
        <v>47</v>
      </c>
      <c r="C11" s="18" t="s">
        <v>47</v>
      </c>
      <c r="D11" s="18"/>
      <c r="E11" s="18"/>
      <c r="F11" s="18">
        <v>10</v>
      </c>
      <c r="G11" s="19" t="s">
        <v>14</v>
      </c>
      <c r="H11" s="17">
        <v>276.60000000000002</v>
      </c>
      <c r="I11" s="18">
        <v>274.54000000000002</v>
      </c>
      <c r="J11" s="19">
        <v>2.06</v>
      </c>
      <c r="K11" s="19">
        <f t="shared" ref="K11:K13" si="3">J11/20.93</f>
        <v>9.842331581462016E-2</v>
      </c>
      <c r="L11" s="19"/>
      <c r="M11" s="19">
        <v>0.875</v>
      </c>
      <c r="N11" s="19">
        <f t="shared" si="1"/>
        <v>8.612040133779264E-2</v>
      </c>
      <c r="O11" s="19"/>
    </row>
    <row r="12" spans="1:15">
      <c r="A12" s="17" t="s">
        <v>47</v>
      </c>
      <c r="B12" s="18" t="s">
        <v>47</v>
      </c>
      <c r="C12" s="18" t="s">
        <v>47</v>
      </c>
      <c r="D12" s="18"/>
      <c r="E12" s="18"/>
      <c r="F12" s="18">
        <v>11</v>
      </c>
      <c r="G12" s="19" t="s">
        <v>15</v>
      </c>
      <c r="H12" s="17">
        <v>264.10000000000002</v>
      </c>
      <c r="I12" s="18">
        <v>260.77</v>
      </c>
      <c r="J12" s="19">
        <v>3.33</v>
      </c>
      <c r="K12" s="19">
        <f t="shared" si="3"/>
        <v>0.15910176779741997</v>
      </c>
      <c r="L12" s="19"/>
      <c r="M12" s="19">
        <v>6.25E-2</v>
      </c>
      <c r="N12" s="19">
        <f t="shared" si="1"/>
        <v>9.943860487338748E-3</v>
      </c>
      <c r="O12" s="19"/>
    </row>
    <row r="13" spans="1:15">
      <c r="A13" s="20" t="s">
        <v>47</v>
      </c>
      <c r="B13" s="21" t="s">
        <v>47</v>
      </c>
      <c r="C13" s="21" t="s">
        <v>47</v>
      </c>
      <c r="D13" s="21"/>
      <c r="E13" s="21"/>
      <c r="F13" s="21">
        <v>12</v>
      </c>
      <c r="G13" s="22" t="s">
        <v>16</v>
      </c>
      <c r="H13" s="20">
        <v>273.07</v>
      </c>
      <c r="I13" s="21">
        <v>273.07</v>
      </c>
      <c r="J13" s="19">
        <v>0</v>
      </c>
      <c r="K13" s="19">
        <f t="shared" si="3"/>
        <v>0</v>
      </c>
      <c r="L13" s="19"/>
      <c r="M13" s="19">
        <v>3.5999999999999997E-2</v>
      </c>
      <c r="N13" s="19">
        <f t="shared" si="1"/>
        <v>0</v>
      </c>
      <c r="O13" s="19"/>
    </row>
    <row r="14" spans="1:15">
      <c r="A14" s="17">
        <v>3</v>
      </c>
      <c r="B14" s="18" t="s">
        <v>26</v>
      </c>
      <c r="C14" s="18">
        <v>25.16</v>
      </c>
      <c r="D14">
        <v>0.29239766081871343</v>
      </c>
      <c r="E14" s="18">
        <f>C14*(1-D14)</f>
        <v>17.80327485380117</v>
      </c>
      <c r="F14" s="18">
        <v>13</v>
      </c>
      <c r="G14" s="19" t="s">
        <v>13</v>
      </c>
      <c r="H14" s="17">
        <v>291.08999999999997</v>
      </c>
      <c r="I14" s="18">
        <v>284.06</v>
      </c>
      <c r="J14" s="19">
        <v>7.03</v>
      </c>
      <c r="K14" s="19">
        <f>J14/17.8</f>
        <v>0.39494382022471908</v>
      </c>
      <c r="L14" s="19">
        <f>SUM(K14:K17)</f>
        <v>1.0112359550561798</v>
      </c>
      <c r="M14">
        <v>2</v>
      </c>
      <c r="N14" s="19">
        <f t="shared" si="1"/>
        <v>0.78988764044943816</v>
      </c>
      <c r="O14" s="19">
        <f>SUM(N14:N17)</f>
        <v>1.2738915730337079</v>
      </c>
    </row>
    <row r="15" spans="1:15">
      <c r="A15" s="17" t="s">
        <v>47</v>
      </c>
      <c r="B15" s="18" t="s">
        <v>47</v>
      </c>
      <c r="C15" s="18" t="s">
        <v>47</v>
      </c>
      <c r="D15" s="18"/>
      <c r="E15" s="18"/>
      <c r="F15" s="18">
        <v>14</v>
      </c>
      <c r="G15" s="19" t="s">
        <v>14</v>
      </c>
      <c r="H15" s="17">
        <v>283.43</v>
      </c>
      <c r="I15" s="18">
        <v>273.66000000000003</v>
      </c>
      <c r="J15" s="19">
        <v>9.77</v>
      </c>
      <c r="K15" s="19">
        <f t="shared" ref="K15:K17" si="4">J15/17.8</f>
        <v>0.54887640449438202</v>
      </c>
      <c r="L15" s="19"/>
      <c r="M15" s="19">
        <v>0.875</v>
      </c>
      <c r="N15" s="19">
        <f t="shared" si="1"/>
        <v>0.48026685393258428</v>
      </c>
      <c r="O15" s="19"/>
    </row>
    <row r="16" spans="1:15">
      <c r="A16" s="23" t="s">
        <v>47</v>
      </c>
      <c r="B16" s="24" t="s">
        <v>47</v>
      </c>
      <c r="C16" s="24" t="s">
        <v>47</v>
      </c>
      <c r="D16" s="24"/>
      <c r="E16" s="24"/>
      <c r="F16" s="24">
        <v>15</v>
      </c>
      <c r="G16" s="19" t="s">
        <v>15</v>
      </c>
      <c r="H16" s="23">
        <v>286.69</v>
      </c>
      <c r="I16" s="24">
        <v>285.81</v>
      </c>
      <c r="J16" s="19">
        <v>0.88</v>
      </c>
      <c r="K16" s="19">
        <f t="shared" si="4"/>
        <v>4.9438202247191011E-2</v>
      </c>
      <c r="L16" s="19"/>
      <c r="M16" s="19">
        <v>6.25E-2</v>
      </c>
      <c r="N16" s="19">
        <f t="shared" si="1"/>
        <v>3.0898876404494382E-3</v>
      </c>
      <c r="O16" s="19"/>
    </row>
    <row r="17" spans="1:15">
      <c r="A17" s="13" t="s">
        <v>47</v>
      </c>
      <c r="B17" s="14" t="s">
        <v>47</v>
      </c>
      <c r="C17" s="14" t="s">
        <v>47</v>
      </c>
      <c r="D17" s="14"/>
      <c r="E17" s="14"/>
      <c r="F17" s="14">
        <v>16</v>
      </c>
      <c r="G17" s="14" t="s">
        <v>16</v>
      </c>
      <c r="H17" s="14">
        <v>275.5</v>
      </c>
      <c r="I17" s="14">
        <v>275.18</v>
      </c>
      <c r="J17" s="19">
        <v>0.32</v>
      </c>
      <c r="K17" s="19">
        <f t="shared" si="4"/>
        <v>1.7977528089887639E-2</v>
      </c>
      <c r="L17" s="19"/>
      <c r="M17" s="19">
        <v>3.5999999999999997E-2</v>
      </c>
      <c r="N17" s="19">
        <f t="shared" si="1"/>
        <v>6.4719101123595496E-4</v>
      </c>
      <c r="O17" s="19"/>
    </row>
    <row r="18" spans="1:15">
      <c r="A18" s="17">
        <v>5</v>
      </c>
      <c r="B18" s="18" t="s">
        <v>12</v>
      </c>
      <c r="C18" s="18">
        <v>25.05</v>
      </c>
      <c r="D18">
        <v>0.2708333333333332</v>
      </c>
      <c r="E18" s="18">
        <f>C18*(1-D18)</f>
        <v>18.265625000000004</v>
      </c>
      <c r="F18" s="18">
        <v>1</v>
      </c>
      <c r="G18" s="18" t="s">
        <v>13</v>
      </c>
      <c r="H18" s="18">
        <v>276.54000000000002</v>
      </c>
      <c r="I18" s="18">
        <v>260.82</v>
      </c>
      <c r="J18" s="19">
        <v>15.72</v>
      </c>
      <c r="K18" s="19">
        <f>J18/18.27</f>
        <v>0.86042692939244669</v>
      </c>
      <c r="L18" s="19">
        <f>SUM(K18:K21)</f>
        <v>1.0541871921182269</v>
      </c>
      <c r="M18">
        <v>2</v>
      </c>
      <c r="N18" s="19">
        <f t="shared" si="1"/>
        <v>1.7208538587848934</v>
      </c>
      <c r="O18" s="19">
        <f>SUM(N18:N21)</f>
        <v>1.8859033935413247</v>
      </c>
    </row>
    <row r="19" spans="1:15">
      <c r="A19" s="17" t="s">
        <v>47</v>
      </c>
      <c r="B19" s="18" t="s">
        <v>47</v>
      </c>
      <c r="C19" s="18" t="s">
        <v>47</v>
      </c>
      <c r="D19" s="18"/>
      <c r="E19" s="18"/>
      <c r="F19" s="18">
        <v>2</v>
      </c>
      <c r="G19" s="18" t="s">
        <v>14</v>
      </c>
      <c r="H19" s="18">
        <v>265.62</v>
      </c>
      <c r="I19" s="18">
        <v>262.18</v>
      </c>
      <c r="J19" s="19">
        <v>3.44</v>
      </c>
      <c r="K19" s="19">
        <f t="shared" ref="K19:K21" si="5">J19/18.27</f>
        <v>0.18828680897646416</v>
      </c>
      <c r="L19" s="19"/>
      <c r="M19" s="19">
        <v>0.875</v>
      </c>
      <c r="N19" s="19">
        <f t="shared" si="1"/>
        <v>0.16475095785440613</v>
      </c>
      <c r="O19" s="19"/>
    </row>
    <row r="20" spans="1:15">
      <c r="A20" s="17" t="s">
        <v>47</v>
      </c>
      <c r="B20" s="18" t="s">
        <v>47</v>
      </c>
      <c r="C20" s="18" t="s">
        <v>47</v>
      </c>
      <c r="D20" s="18"/>
      <c r="E20" s="18"/>
      <c r="F20" s="18">
        <v>3</v>
      </c>
      <c r="G20" s="18" t="s">
        <v>15</v>
      </c>
      <c r="H20" s="18">
        <v>273.60000000000002</v>
      </c>
      <c r="I20" s="18">
        <v>273.52999999999997</v>
      </c>
      <c r="J20" s="19">
        <v>7.0000000000000007E-2</v>
      </c>
      <c r="K20" s="19">
        <f t="shared" si="5"/>
        <v>3.8314176245210735E-3</v>
      </c>
      <c r="L20" s="19"/>
      <c r="M20" s="19">
        <v>6.25E-2</v>
      </c>
      <c r="N20" s="19">
        <f t="shared" si="1"/>
        <v>2.3946360153256709E-4</v>
      </c>
      <c r="O20" s="19"/>
    </row>
    <row r="21" spans="1:15">
      <c r="A21" s="20" t="s">
        <v>47</v>
      </c>
      <c r="B21" s="21" t="s">
        <v>47</v>
      </c>
      <c r="C21" s="21" t="s">
        <v>47</v>
      </c>
      <c r="D21" s="21"/>
      <c r="E21" s="21"/>
      <c r="F21" s="21">
        <v>4</v>
      </c>
      <c r="G21" s="22" t="s">
        <v>16</v>
      </c>
      <c r="H21" s="20">
        <v>273.93</v>
      </c>
      <c r="I21" s="21">
        <v>273.89999999999998</v>
      </c>
      <c r="J21" s="19">
        <v>0.03</v>
      </c>
      <c r="K21" s="19">
        <f t="shared" si="5"/>
        <v>1.6420361247947454E-3</v>
      </c>
      <c r="L21" s="19"/>
      <c r="M21" s="19">
        <v>3.5999999999999997E-2</v>
      </c>
      <c r="N21" s="19">
        <f t="shared" si="1"/>
        <v>5.911330049261083E-5</v>
      </c>
      <c r="O21" s="19"/>
    </row>
    <row r="22" spans="1:15">
      <c r="A22" s="17">
        <v>6</v>
      </c>
      <c r="B22" s="18" t="s">
        <v>17</v>
      </c>
      <c r="C22" s="18">
        <v>25.05</v>
      </c>
      <c r="D22">
        <v>0.36813186813186805</v>
      </c>
      <c r="E22" s="18">
        <f>C22*(1-D22)</f>
        <v>15.828296703296706</v>
      </c>
      <c r="F22" s="18">
        <v>5</v>
      </c>
      <c r="G22" s="19" t="s">
        <v>13</v>
      </c>
      <c r="H22" s="17">
        <v>274.05</v>
      </c>
      <c r="I22" s="18">
        <v>262.10000000000002</v>
      </c>
      <c r="J22" s="19">
        <v>11.95</v>
      </c>
      <c r="K22" s="19">
        <f>J22/15.83</f>
        <v>0.75489576753000631</v>
      </c>
      <c r="L22" s="19">
        <f>SUM(K22:K25)</f>
        <v>1.056854074542009</v>
      </c>
      <c r="M22">
        <v>2</v>
      </c>
      <c r="N22" s="19">
        <f t="shared" si="1"/>
        <v>1.5097915350600126</v>
      </c>
      <c r="O22" s="19">
        <f>SUM(N22:N25)</f>
        <v>1.7631762476310802</v>
      </c>
    </row>
    <row r="23" spans="1:15">
      <c r="A23" s="17" t="s">
        <v>47</v>
      </c>
      <c r="B23" s="18" t="s">
        <v>47</v>
      </c>
      <c r="C23" s="18" t="s">
        <v>47</v>
      </c>
      <c r="D23" s="18"/>
      <c r="E23" s="18"/>
      <c r="F23" s="18">
        <v>6</v>
      </c>
      <c r="G23" s="19" t="s">
        <v>14</v>
      </c>
      <c r="H23" s="17">
        <v>290.56</v>
      </c>
      <c r="I23" s="18">
        <v>285.99</v>
      </c>
      <c r="J23" s="19">
        <v>4.57</v>
      </c>
      <c r="K23" s="19">
        <f t="shared" ref="K23:K25" si="6">J23/15.83</f>
        <v>0.2886923562855338</v>
      </c>
      <c r="L23" s="19"/>
      <c r="M23" s="19">
        <v>0.875</v>
      </c>
      <c r="N23" s="19">
        <f t="shared" si="1"/>
        <v>0.25260581174984209</v>
      </c>
      <c r="O23" s="19"/>
    </row>
    <row r="24" spans="1:15">
      <c r="A24" s="17" t="s">
        <v>47</v>
      </c>
      <c r="B24" s="18" t="s">
        <v>47</v>
      </c>
      <c r="C24" s="18" t="s">
        <v>47</v>
      </c>
      <c r="D24" s="18"/>
      <c r="E24" s="18"/>
      <c r="F24" s="18">
        <v>7</v>
      </c>
      <c r="G24" s="19" t="s">
        <v>15</v>
      </c>
      <c r="H24" s="17">
        <v>286.2</v>
      </c>
      <c r="I24" s="18">
        <v>286.02</v>
      </c>
      <c r="J24" s="19">
        <v>0.18</v>
      </c>
      <c r="K24" s="19">
        <f t="shared" si="6"/>
        <v>1.1370814908401769E-2</v>
      </c>
      <c r="L24" s="19"/>
      <c r="M24" s="19">
        <v>6.25E-2</v>
      </c>
      <c r="N24" s="19">
        <f t="shared" si="1"/>
        <v>7.1067593177511054E-4</v>
      </c>
      <c r="O24" s="19"/>
    </row>
    <row r="25" spans="1:15">
      <c r="A25" s="20" t="s">
        <v>47</v>
      </c>
      <c r="B25" s="21" t="s">
        <v>47</v>
      </c>
      <c r="C25" s="21" t="s">
        <v>47</v>
      </c>
      <c r="D25" s="21"/>
      <c r="E25" s="21"/>
      <c r="F25" s="21">
        <v>8</v>
      </c>
      <c r="G25" s="22" t="s">
        <v>16</v>
      </c>
      <c r="H25" s="20">
        <v>284.87</v>
      </c>
      <c r="I25" s="21">
        <v>284.83999999999997</v>
      </c>
      <c r="J25" s="19">
        <v>0.03</v>
      </c>
      <c r="K25" s="19">
        <f t="shared" si="6"/>
        <v>1.8951358180669614E-3</v>
      </c>
      <c r="L25" s="19"/>
      <c r="M25" s="19">
        <v>3.5999999999999997E-2</v>
      </c>
      <c r="N25" s="19">
        <f t="shared" si="1"/>
        <v>6.8224889450410611E-5</v>
      </c>
      <c r="O25" s="19"/>
    </row>
    <row r="26" spans="1:15">
      <c r="A26" s="17">
        <v>7</v>
      </c>
      <c r="B26" s="18" t="s">
        <v>19</v>
      </c>
      <c r="C26" s="18">
        <v>25</v>
      </c>
      <c r="D26">
        <v>0.24472573839662448</v>
      </c>
      <c r="E26" s="18">
        <f>C26*(1-D26)</f>
        <v>18.881856540084389</v>
      </c>
      <c r="F26" s="18">
        <v>9</v>
      </c>
      <c r="G26" s="19" t="s">
        <v>13</v>
      </c>
      <c r="H26" s="17">
        <v>285.97000000000003</v>
      </c>
      <c r="I26" s="18">
        <v>275.52</v>
      </c>
      <c r="J26" s="19">
        <v>10.45</v>
      </c>
      <c r="K26" s="19">
        <f>J26/18.88</f>
        <v>0.5534957627118644</v>
      </c>
      <c r="L26" s="19">
        <f>SUM(K26:K29)</f>
        <v>0.84322033898305082</v>
      </c>
      <c r="M26">
        <v>2</v>
      </c>
      <c r="N26" s="19">
        <f t="shared" si="1"/>
        <v>1.1069915254237288</v>
      </c>
      <c r="O26" s="19">
        <f>SUM(N26:N29)</f>
        <v>1.3418832097457629</v>
      </c>
    </row>
    <row r="27" spans="1:15">
      <c r="A27" s="17" t="s">
        <v>47</v>
      </c>
      <c r="B27" s="18" t="s">
        <v>47</v>
      </c>
      <c r="C27" s="18" t="s">
        <v>47</v>
      </c>
      <c r="D27" s="18"/>
      <c r="E27" s="18"/>
      <c r="F27" s="18">
        <v>10</v>
      </c>
      <c r="G27" s="19" t="s">
        <v>14</v>
      </c>
      <c r="H27" s="17">
        <v>280.13</v>
      </c>
      <c r="I27" s="18">
        <v>275.08999999999997</v>
      </c>
      <c r="J27" s="19">
        <v>5.04</v>
      </c>
      <c r="K27" s="19">
        <f t="shared" ref="K27:K29" si="7">J27/18.88</f>
        <v>0.26694915254237289</v>
      </c>
      <c r="L27" s="19"/>
      <c r="M27" s="19">
        <v>0.875</v>
      </c>
      <c r="N27" s="19">
        <f t="shared" si="1"/>
        <v>0.23358050847457629</v>
      </c>
      <c r="O27" s="19"/>
    </row>
    <row r="28" spans="1:15">
      <c r="A28" s="17" t="s">
        <v>47</v>
      </c>
      <c r="B28" s="18" t="s">
        <v>47</v>
      </c>
      <c r="C28" s="18" t="s">
        <v>47</v>
      </c>
      <c r="D28" s="18"/>
      <c r="E28" s="18"/>
      <c r="F28" s="18">
        <v>11</v>
      </c>
      <c r="G28" s="19" t="s">
        <v>15</v>
      </c>
      <c r="H28" s="17">
        <v>261.04000000000002</v>
      </c>
      <c r="I28" s="18">
        <v>260.69</v>
      </c>
      <c r="J28" s="19">
        <v>0.35</v>
      </c>
      <c r="K28" s="19">
        <f t="shared" si="7"/>
        <v>1.8538135593220338E-2</v>
      </c>
      <c r="L28" s="19"/>
      <c r="M28" s="19">
        <v>6.25E-2</v>
      </c>
      <c r="N28" s="19">
        <f t="shared" si="1"/>
        <v>1.1586334745762711E-3</v>
      </c>
      <c r="O28" s="19"/>
    </row>
    <row r="29" spans="1:15">
      <c r="A29" s="20" t="s">
        <v>47</v>
      </c>
      <c r="B29" s="21" t="s">
        <v>47</v>
      </c>
      <c r="C29" s="21" t="s">
        <v>47</v>
      </c>
      <c r="D29" s="21"/>
      <c r="E29" s="21"/>
      <c r="F29" s="21">
        <v>12</v>
      </c>
      <c r="G29" s="22" t="s">
        <v>16</v>
      </c>
      <c r="H29" s="20">
        <v>273.27999999999997</v>
      </c>
      <c r="I29" s="21">
        <v>273.2</v>
      </c>
      <c r="J29" s="19">
        <v>0.08</v>
      </c>
      <c r="K29" s="19">
        <f t="shared" si="7"/>
        <v>4.2372881355932203E-3</v>
      </c>
      <c r="L29" s="19"/>
      <c r="M29" s="19">
        <v>3.5999999999999997E-2</v>
      </c>
      <c r="N29" s="19">
        <f t="shared" si="1"/>
        <v>1.5254237288135592E-4</v>
      </c>
      <c r="O29" s="19"/>
    </row>
    <row r="30" spans="1:15">
      <c r="A30" s="17">
        <v>8</v>
      </c>
      <c r="B30" s="18" t="s">
        <v>18</v>
      </c>
      <c r="C30" s="18">
        <v>25.01</v>
      </c>
      <c r="D30">
        <v>0.32947976878612723</v>
      </c>
      <c r="E30" s="18">
        <f>C30*(1-D30)</f>
        <v>16.769710982658957</v>
      </c>
      <c r="F30" s="18">
        <v>13</v>
      </c>
      <c r="G30" s="19" t="s">
        <v>13</v>
      </c>
      <c r="H30" s="17">
        <v>298.38</v>
      </c>
      <c r="I30" s="18">
        <v>284.08</v>
      </c>
      <c r="J30" s="19">
        <v>14.3</v>
      </c>
      <c r="K30" s="19">
        <f>J30/16.77</f>
        <v>0.85271317829457371</v>
      </c>
      <c r="L30" s="19">
        <f>SUM(K30:K33)</f>
        <v>1.0423375074537866</v>
      </c>
      <c r="M30">
        <v>2</v>
      </c>
      <c r="N30" s="19">
        <f t="shared" si="1"/>
        <v>1.7054263565891474</v>
      </c>
      <c r="O30" s="19">
        <f>SUM(N30:N33)</f>
        <v>1.8703944543828266</v>
      </c>
    </row>
    <row r="31" spans="1:15">
      <c r="A31" s="17" t="s">
        <v>47</v>
      </c>
      <c r="B31" s="18" t="s">
        <v>47</v>
      </c>
      <c r="C31" s="18" t="s">
        <v>47</v>
      </c>
      <c r="D31" s="18"/>
      <c r="E31" s="18"/>
      <c r="F31" s="18">
        <v>14</v>
      </c>
      <c r="G31" s="19" t="s">
        <v>14</v>
      </c>
      <c r="H31" s="17">
        <v>276.89</v>
      </c>
      <c r="I31" s="18">
        <v>273.73</v>
      </c>
      <c r="J31" s="19">
        <v>3.16</v>
      </c>
      <c r="K31" s="19">
        <f t="shared" ref="K31:K33" si="8">J31/16.77</f>
        <v>0.18843172331544425</v>
      </c>
      <c r="L31" s="19"/>
      <c r="M31" s="19">
        <v>0.875</v>
      </c>
      <c r="N31" s="19">
        <f t="shared" si="1"/>
        <v>0.16487775790101372</v>
      </c>
      <c r="O31" s="19"/>
    </row>
    <row r="32" spans="1:15">
      <c r="A32" s="17" t="s">
        <v>47</v>
      </c>
      <c r="B32" s="18" t="s">
        <v>47</v>
      </c>
      <c r="C32" s="18" t="s">
        <v>47</v>
      </c>
      <c r="D32" s="18"/>
      <c r="E32" s="18"/>
      <c r="F32" s="18">
        <v>15</v>
      </c>
      <c r="G32" s="19" t="s">
        <v>15</v>
      </c>
      <c r="H32" s="17">
        <v>285.95999999999998</v>
      </c>
      <c r="I32" s="18">
        <v>285.93</v>
      </c>
      <c r="J32" s="19">
        <v>0.03</v>
      </c>
      <c r="K32" s="19">
        <f t="shared" si="8"/>
        <v>1.7889087656529517E-3</v>
      </c>
      <c r="L32" s="19"/>
      <c r="M32" s="19">
        <v>6.25E-2</v>
      </c>
      <c r="N32" s="19">
        <f t="shared" si="1"/>
        <v>1.1180679785330948E-4</v>
      </c>
      <c r="O32" s="19"/>
    </row>
    <row r="33" spans="1:15">
      <c r="A33" s="17" t="s">
        <v>47</v>
      </c>
      <c r="B33" s="18" t="s">
        <v>47</v>
      </c>
      <c r="C33" s="18" t="s">
        <v>47</v>
      </c>
      <c r="D33" s="18"/>
      <c r="E33" s="18"/>
      <c r="F33" s="18">
        <v>16</v>
      </c>
      <c r="G33" s="22" t="s">
        <v>16</v>
      </c>
      <c r="H33" s="20">
        <v>275.10000000000002</v>
      </c>
      <c r="I33" s="21">
        <v>275.11</v>
      </c>
      <c r="J33" s="19">
        <v>-0.01</v>
      </c>
      <c r="K33" s="19">
        <f t="shared" si="8"/>
        <v>-5.9630292188431731E-4</v>
      </c>
      <c r="L33" s="19"/>
      <c r="M33" s="19">
        <v>3.5999999999999997E-2</v>
      </c>
      <c r="N33" s="19">
        <f t="shared" si="1"/>
        <v>-2.1466905187835421E-5</v>
      </c>
      <c r="O33" s="19"/>
    </row>
    <row r="34" spans="1:15">
      <c r="A34" s="17">
        <v>9</v>
      </c>
      <c r="B34" s="19" t="s">
        <v>23</v>
      </c>
      <c r="C34" s="17">
        <v>24.94</v>
      </c>
      <c r="D34">
        <v>0.21428571428571419</v>
      </c>
      <c r="E34" s="18">
        <f>C34*(1-D34)</f>
        <v>19.595714285714291</v>
      </c>
      <c r="F34" s="18">
        <v>1</v>
      </c>
      <c r="G34" s="18" t="s">
        <v>13</v>
      </c>
      <c r="H34" s="18">
        <v>274.48</v>
      </c>
      <c r="I34" s="18">
        <v>260.81</v>
      </c>
      <c r="J34" s="19">
        <v>13.67</v>
      </c>
      <c r="K34" s="19">
        <f>J34/19.6</f>
        <v>0.69744897959183672</v>
      </c>
      <c r="L34" s="19">
        <f>SUM(K34:K37)</f>
        <v>0.99081632653061213</v>
      </c>
      <c r="M34">
        <v>2</v>
      </c>
      <c r="N34" s="19">
        <f t="shared" si="1"/>
        <v>1.3948979591836734</v>
      </c>
      <c r="O34" s="19">
        <f>SUM(N34:N37)</f>
        <v>1.6323091836734693</v>
      </c>
    </row>
    <row r="35" spans="1:15">
      <c r="A35" s="17" t="s">
        <v>47</v>
      </c>
      <c r="B35" s="25" t="s">
        <v>47</v>
      </c>
      <c r="C35" s="18" t="s">
        <v>47</v>
      </c>
      <c r="D35" s="18"/>
      <c r="E35" s="18"/>
      <c r="F35" s="18">
        <v>2</v>
      </c>
      <c r="G35" s="18" t="s">
        <v>14</v>
      </c>
      <c r="H35" s="18">
        <v>266.25</v>
      </c>
      <c r="I35" s="18">
        <v>260.95999999999998</v>
      </c>
      <c r="J35" s="19">
        <v>5.29</v>
      </c>
      <c r="K35" s="19">
        <f t="shared" ref="K35:K37" si="9">J35/19.6</f>
        <v>0.26989795918367343</v>
      </c>
      <c r="L35" s="19"/>
      <c r="M35" s="19">
        <v>0.875</v>
      </c>
      <c r="N35" s="19">
        <f t="shared" si="1"/>
        <v>0.23616071428571425</v>
      </c>
      <c r="O35" s="19"/>
    </row>
    <row r="36" spans="1:15">
      <c r="A36" s="17" t="s">
        <v>47</v>
      </c>
      <c r="B36" s="18" t="s">
        <v>47</v>
      </c>
      <c r="C36" s="18" t="s">
        <v>47</v>
      </c>
      <c r="D36" s="18"/>
      <c r="E36" s="18"/>
      <c r="F36" s="18">
        <v>3</v>
      </c>
      <c r="G36" s="18" t="s">
        <v>15</v>
      </c>
      <c r="H36" s="18">
        <v>273.94</v>
      </c>
      <c r="I36" s="18">
        <v>273.64</v>
      </c>
      <c r="J36" s="19">
        <v>0.3</v>
      </c>
      <c r="K36" s="19">
        <f t="shared" si="9"/>
        <v>1.530612244897959E-2</v>
      </c>
      <c r="L36" s="19"/>
      <c r="M36" s="19">
        <v>6.25E-2</v>
      </c>
      <c r="N36" s="19">
        <f t="shared" si="1"/>
        <v>9.5663265306122436E-4</v>
      </c>
      <c r="O36" s="19"/>
    </row>
    <row r="37" spans="1:15">
      <c r="A37" s="20" t="s">
        <v>47</v>
      </c>
      <c r="B37" s="21" t="s">
        <v>47</v>
      </c>
      <c r="C37" s="21" t="s">
        <v>47</v>
      </c>
      <c r="D37" s="21"/>
      <c r="E37" s="21"/>
      <c r="F37" s="21">
        <v>4</v>
      </c>
      <c r="G37" s="22" t="s">
        <v>16</v>
      </c>
      <c r="H37" s="20">
        <v>274.13</v>
      </c>
      <c r="I37" s="21">
        <v>273.97000000000003</v>
      </c>
      <c r="J37" s="19">
        <v>0.16</v>
      </c>
      <c r="K37" s="19">
        <f t="shared" si="9"/>
        <v>8.163265306122448E-3</v>
      </c>
      <c r="L37" s="19"/>
      <c r="M37" s="19">
        <v>3.5999999999999997E-2</v>
      </c>
      <c r="N37" s="19">
        <f t="shared" si="1"/>
        <v>2.9387755102040813E-4</v>
      </c>
      <c r="O37" s="19"/>
    </row>
    <row r="38" spans="1:15">
      <c r="A38" s="17">
        <v>10</v>
      </c>
      <c r="B38" s="19" t="s">
        <v>22</v>
      </c>
      <c r="C38" s="17">
        <v>25.39</v>
      </c>
      <c r="D38">
        <v>0.28846153846153849</v>
      </c>
      <c r="E38" s="18">
        <f>C38*(1-D38)</f>
        <v>18.065961538461536</v>
      </c>
      <c r="F38" s="18">
        <v>5</v>
      </c>
      <c r="G38" s="19" t="s">
        <v>13</v>
      </c>
      <c r="H38" s="17">
        <v>275.54000000000002</v>
      </c>
      <c r="I38" s="18">
        <v>261.97000000000003</v>
      </c>
      <c r="J38" s="19">
        <v>13.57</v>
      </c>
      <c r="K38" s="19">
        <f>J38/18.07</f>
        <v>0.75096845600442719</v>
      </c>
      <c r="L38" s="19">
        <f>SUM(K38:K41)</f>
        <v>0.99833978970669601</v>
      </c>
      <c r="M38">
        <v>2</v>
      </c>
      <c r="N38" s="19">
        <f t="shared" si="1"/>
        <v>1.5019369120088544</v>
      </c>
      <c r="O38" s="19">
        <f>SUM(N38:N41)</f>
        <v>1.705664914222468</v>
      </c>
    </row>
    <row r="39" spans="1:15">
      <c r="A39" s="17" t="s">
        <v>47</v>
      </c>
      <c r="B39" s="25" t="s">
        <v>47</v>
      </c>
      <c r="C39" s="18" t="s">
        <v>47</v>
      </c>
      <c r="D39" s="18"/>
      <c r="E39" s="18"/>
      <c r="F39" s="18">
        <v>6</v>
      </c>
      <c r="G39" s="19" t="s">
        <v>14</v>
      </c>
      <c r="H39" s="17">
        <v>290.31</v>
      </c>
      <c r="I39" s="18">
        <v>286.12</v>
      </c>
      <c r="J39" s="19">
        <v>4.1900000000000004</v>
      </c>
      <c r="K39" s="19">
        <f t="shared" ref="K39:K41" si="10">J39/18.07</f>
        <v>0.23187603763143333</v>
      </c>
      <c r="L39" s="19"/>
      <c r="M39" s="19">
        <v>0.875</v>
      </c>
      <c r="N39" s="19">
        <f t="shared" si="1"/>
        <v>0.20289153292750417</v>
      </c>
      <c r="O39" s="19"/>
    </row>
    <row r="40" spans="1:15">
      <c r="A40" s="17" t="s">
        <v>47</v>
      </c>
      <c r="B40" s="18" t="s">
        <v>47</v>
      </c>
      <c r="C40" s="18" t="s">
        <v>47</v>
      </c>
      <c r="D40" s="18"/>
      <c r="E40" s="18"/>
      <c r="F40" s="18">
        <v>7</v>
      </c>
      <c r="G40" s="19" t="s">
        <v>15</v>
      </c>
      <c r="H40" s="17">
        <v>286.02</v>
      </c>
      <c r="I40" s="18">
        <v>285.83</v>
      </c>
      <c r="J40" s="19">
        <v>0.19</v>
      </c>
      <c r="K40" s="19">
        <f t="shared" si="10"/>
        <v>1.0514665190924184E-2</v>
      </c>
      <c r="L40" s="19"/>
      <c r="M40" s="19">
        <v>6.25E-2</v>
      </c>
      <c r="N40" s="19">
        <f t="shared" si="1"/>
        <v>6.5716657443276149E-4</v>
      </c>
      <c r="O40" s="19"/>
    </row>
    <row r="41" spans="1:15">
      <c r="A41" s="20" t="s">
        <v>47</v>
      </c>
      <c r="B41" s="21" t="s">
        <v>47</v>
      </c>
      <c r="C41" s="21" t="s">
        <v>47</v>
      </c>
      <c r="D41" s="21"/>
      <c r="E41" s="21"/>
      <c r="F41" s="21">
        <v>8</v>
      </c>
      <c r="G41" s="22" t="s">
        <v>16</v>
      </c>
      <c r="H41" s="20">
        <v>284.83999999999997</v>
      </c>
      <c r="I41" s="21">
        <v>284.75</v>
      </c>
      <c r="J41" s="19">
        <v>0.09</v>
      </c>
      <c r="K41" s="19">
        <f t="shared" si="10"/>
        <v>4.9806308799114551E-3</v>
      </c>
      <c r="L41" s="19"/>
      <c r="M41" s="19">
        <v>3.5999999999999997E-2</v>
      </c>
      <c r="N41" s="19">
        <f t="shared" si="1"/>
        <v>1.7930271167681237E-4</v>
      </c>
      <c r="O41" s="19"/>
    </row>
    <row r="42" spans="1:15">
      <c r="A42" s="17">
        <v>11</v>
      </c>
      <c r="B42" s="19" t="s">
        <v>20</v>
      </c>
      <c r="C42" s="17">
        <v>25.13</v>
      </c>
      <c r="D42">
        <v>0.19047619047619044</v>
      </c>
      <c r="E42" s="18">
        <f>C42*(1-D42)</f>
        <v>20.343333333333334</v>
      </c>
      <c r="F42" s="18">
        <v>9</v>
      </c>
      <c r="G42" s="19" t="s">
        <v>13</v>
      </c>
      <c r="H42" s="17">
        <v>276.79000000000002</v>
      </c>
      <c r="I42" s="18">
        <v>275.31</v>
      </c>
      <c r="J42" s="19">
        <v>1.48</v>
      </c>
      <c r="K42" s="19">
        <f>J42/20.34</f>
        <v>7.2763028515240899E-2</v>
      </c>
      <c r="L42" s="19">
        <f>SUM(K42:K45)</f>
        <v>0.66912487708947888</v>
      </c>
      <c r="M42">
        <v>2</v>
      </c>
      <c r="N42" s="19">
        <f t="shared" si="1"/>
        <v>0.1455260570304818</v>
      </c>
      <c r="O42" s="19">
        <f>SUM(N42:N45)</f>
        <v>0.55218092428711896</v>
      </c>
    </row>
    <row r="43" spans="1:15">
      <c r="A43" s="17" t="s">
        <v>47</v>
      </c>
      <c r="B43" s="25" t="s">
        <v>47</v>
      </c>
      <c r="C43" s="18" t="s">
        <v>47</v>
      </c>
      <c r="D43" s="18"/>
      <c r="E43" s="18"/>
      <c r="F43" s="18">
        <v>10</v>
      </c>
      <c r="G43" s="19" t="s">
        <v>14</v>
      </c>
      <c r="H43" s="17">
        <v>285.44</v>
      </c>
      <c r="I43" s="18">
        <v>276.16000000000003</v>
      </c>
      <c r="J43" s="19">
        <v>9.2799999999999994</v>
      </c>
      <c r="K43" s="19">
        <f t="shared" ref="K43:K45" si="11">J43/20.34</f>
        <v>0.45624385447394294</v>
      </c>
      <c r="L43" s="19"/>
      <c r="M43" s="19">
        <v>0.875</v>
      </c>
      <c r="N43" s="19">
        <f t="shared" si="1"/>
        <v>0.39921337266470008</v>
      </c>
      <c r="O43" s="19"/>
    </row>
    <row r="44" spans="1:15">
      <c r="A44" s="17" t="s">
        <v>47</v>
      </c>
      <c r="B44" s="18" t="s">
        <v>47</v>
      </c>
      <c r="C44" s="18" t="s">
        <v>47</v>
      </c>
      <c r="D44" s="18"/>
      <c r="E44" s="18"/>
      <c r="F44" s="18">
        <v>11</v>
      </c>
      <c r="G44" s="19" t="s">
        <v>15</v>
      </c>
      <c r="H44" s="17">
        <v>262.98</v>
      </c>
      <c r="I44" s="18">
        <v>261.14</v>
      </c>
      <c r="J44" s="19">
        <v>1.84</v>
      </c>
      <c r="K44" s="19">
        <f t="shared" si="11"/>
        <v>9.04621435594887E-2</v>
      </c>
      <c r="L44" s="19"/>
      <c r="M44" s="19">
        <v>6.25E-2</v>
      </c>
      <c r="N44" s="19">
        <f t="shared" si="1"/>
        <v>5.6538839724680438E-3</v>
      </c>
      <c r="O44" s="19"/>
    </row>
    <row r="45" spans="1:15">
      <c r="A45" s="20" t="s">
        <v>47</v>
      </c>
      <c r="B45" s="21" t="s">
        <v>47</v>
      </c>
      <c r="C45" s="21" t="s">
        <v>47</v>
      </c>
      <c r="D45" s="21"/>
      <c r="E45" s="21"/>
      <c r="F45" s="21">
        <v>12</v>
      </c>
      <c r="G45" s="22" t="s">
        <v>16</v>
      </c>
      <c r="H45" s="20">
        <v>274.77</v>
      </c>
      <c r="I45" s="21">
        <v>273.76</v>
      </c>
      <c r="J45" s="19">
        <v>1.01</v>
      </c>
      <c r="K45" s="19">
        <f t="shared" si="11"/>
        <v>4.9655850540806297E-2</v>
      </c>
      <c r="L45" s="19"/>
      <c r="M45" s="19">
        <v>3.5999999999999997E-2</v>
      </c>
      <c r="N45" s="19">
        <f t="shared" si="1"/>
        <v>1.7876106194690267E-3</v>
      </c>
      <c r="O45" s="19"/>
    </row>
    <row r="46" spans="1:15">
      <c r="A46" s="17">
        <v>12</v>
      </c>
      <c r="B46" s="19" t="s">
        <v>21</v>
      </c>
      <c r="C46" s="17">
        <v>24.9</v>
      </c>
      <c r="D46">
        <v>0.35031847133757965</v>
      </c>
      <c r="E46" s="18">
        <f>C46*(1-D46)</f>
        <v>16.177070063694266</v>
      </c>
      <c r="F46" s="18">
        <v>13</v>
      </c>
      <c r="G46" s="19" t="s">
        <v>13</v>
      </c>
      <c r="H46" s="17">
        <v>295.49</v>
      </c>
      <c r="I46" s="18">
        <v>284.14</v>
      </c>
      <c r="J46" s="19">
        <v>11.35</v>
      </c>
      <c r="K46" s="19">
        <f>J46/16.18</f>
        <v>0.70148331273176756</v>
      </c>
      <c r="L46" s="19">
        <f>SUM(K46:K49)</f>
        <v>1.0661310259579728</v>
      </c>
      <c r="M46">
        <v>2</v>
      </c>
      <c r="N46" s="19">
        <f t="shared" si="1"/>
        <v>1.4029666254635351</v>
      </c>
      <c r="O46" s="19">
        <f>SUM(N46:N49)</f>
        <v>1.7128961681087762</v>
      </c>
    </row>
    <row r="47" spans="1:15">
      <c r="A47" s="17" t="s">
        <v>47</v>
      </c>
      <c r="B47" s="25" t="s">
        <v>47</v>
      </c>
      <c r="C47" s="18" t="s">
        <v>47</v>
      </c>
      <c r="D47" s="18"/>
      <c r="E47" s="18"/>
      <c r="F47" s="18">
        <v>14</v>
      </c>
      <c r="G47" s="19" t="s">
        <v>14</v>
      </c>
      <c r="H47" s="17">
        <v>279.60000000000002</v>
      </c>
      <c r="I47" s="18">
        <v>273.88</v>
      </c>
      <c r="J47" s="19">
        <v>5.72</v>
      </c>
      <c r="K47" s="19">
        <f t="shared" ref="K47:K48" si="12">J47/16.18</f>
        <v>0.35352286773794805</v>
      </c>
      <c r="L47" s="19"/>
      <c r="M47" s="19">
        <v>0.875</v>
      </c>
      <c r="N47" s="19">
        <f t="shared" si="1"/>
        <v>0.30933250927070455</v>
      </c>
      <c r="O47" s="19"/>
    </row>
    <row r="48" spans="1:15">
      <c r="A48" s="17" t="s">
        <v>47</v>
      </c>
      <c r="B48" s="18" t="s">
        <v>47</v>
      </c>
      <c r="C48" s="18" t="s">
        <v>47</v>
      </c>
      <c r="D48" s="18"/>
      <c r="E48" s="18"/>
      <c r="F48" s="18">
        <v>15</v>
      </c>
      <c r="G48" s="19" t="s">
        <v>15</v>
      </c>
      <c r="H48" s="17">
        <v>286.10000000000002</v>
      </c>
      <c r="I48" s="18">
        <v>285.98</v>
      </c>
      <c r="J48" s="19">
        <v>0.12</v>
      </c>
      <c r="K48" s="19">
        <f t="shared" si="12"/>
        <v>7.4165636588380719E-3</v>
      </c>
      <c r="L48" s="19"/>
      <c r="M48" s="19">
        <v>6.25E-2</v>
      </c>
      <c r="N48" s="19">
        <f t="shared" si="1"/>
        <v>4.635352286773795E-4</v>
      </c>
      <c r="O48" s="19"/>
    </row>
    <row r="49" spans="1:15">
      <c r="A49" s="20" t="s">
        <v>47</v>
      </c>
      <c r="B49" s="21" t="s">
        <v>47</v>
      </c>
      <c r="C49" s="21" t="s">
        <v>47</v>
      </c>
      <c r="D49" s="21"/>
      <c r="E49" s="21"/>
      <c r="F49" s="21">
        <v>16</v>
      </c>
      <c r="G49" s="22" t="s">
        <v>16</v>
      </c>
      <c r="H49" s="17">
        <v>275.18</v>
      </c>
      <c r="I49" s="18">
        <v>275.12</v>
      </c>
      <c r="J49" s="19">
        <v>0.06</v>
      </c>
      <c r="K49" s="19">
        <f>J49/16.18</f>
        <v>3.708281829419036E-3</v>
      </c>
      <c r="L49" s="19"/>
      <c r="M49" s="19">
        <v>3.5999999999999997E-2</v>
      </c>
      <c r="N49" s="19">
        <f t="shared" si="1"/>
        <v>1.334981458590853E-4</v>
      </c>
      <c r="O49" s="19"/>
    </row>
    <row r="50" spans="1:15">
      <c r="A50" s="17">
        <v>13</v>
      </c>
      <c r="B50" s="19" t="s">
        <v>55</v>
      </c>
      <c r="C50" s="17">
        <v>25.06</v>
      </c>
      <c r="D50" s="18">
        <v>0.58421052631578907</v>
      </c>
      <c r="E50" s="18">
        <f>C50*(1-D50)</f>
        <v>10.419684210526325</v>
      </c>
      <c r="F50" s="18">
        <v>1</v>
      </c>
      <c r="G50" s="19" t="s">
        <v>13</v>
      </c>
      <c r="H50" s="17">
        <v>266.35000000000002</v>
      </c>
      <c r="I50" s="18">
        <v>260.94</v>
      </c>
      <c r="J50" s="19">
        <v>5.41</v>
      </c>
      <c r="K50" s="19">
        <f>J50/10.42</f>
        <v>0.51919385796545103</v>
      </c>
      <c r="L50" s="41">
        <f>SUM(K50:K53)</f>
        <v>1.1938579654510557</v>
      </c>
      <c r="M50">
        <v>2</v>
      </c>
      <c r="N50" s="19">
        <f t="shared" si="1"/>
        <v>1.0383877159309021</v>
      </c>
      <c r="O50" s="19">
        <f>SUM(N50:N53)</f>
        <v>1.5903838771593091</v>
      </c>
    </row>
    <row r="51" spans="1:15">
      <c r="A51" s="17" t="s">
        <v>47</v>
      </c>
      <c r="B51" s="25" t="s">
        <v>47</v>
      </c>
      <c r="C51" s="18" t="s">
        <v>47</v>
      </c>
      <c r="D51" s="18"/>
      <c r="E51" s="18"/>
      <c r="F51" s="18">
        <v>2</v>
      </c>
      <c r="G51" s="19" t="s">
        <v>14</v>
      </c>
      <c r="H51" s="17">
        <v>268.12</v>
      </c>
      <c r="I51" s="18">
        <v>261.58</v>
      </c>
      <c r="J51" s="19">
        <v>6.54</v>
      </c>
      <c r="K51" s="19">
        <f t="shared" ref="K51:K53" si="13">J51/10.42</f>
        <v>0.62763915547024951</v>
      </c>
      <c r="L51" s="19"/>
      <c r="M51" s="19">
        <v>0.875</v>
      </c>
      <c r="N51" s="19">
        <f t="shared" si="1"/>
        <v>0.54918426103646834</v>
      </c>
      <c r="O51" s="19"/>
    </row>
    <row r="52" spans="1:15">
      <c r="A52" s="17" t="s">
        <v>47</v>
      </c>
      <c r="B52" s="18" t="s">
        <v>47</v>
      </c>
      <c r="C52" s="18" t="s">
        <v>47</v>
      </c>
      <c r="D52" s="18"/>
      <c r="E52" s="18"/>
      <c r="F52" s="18">
        <v>3</v>
      </c>
      <c r="G52" s="19" t="s">
        <v>15</v>
      </c>
      <c r="H52" s="17">
        <v>274.61</v>
      </c>
      <c r="I52" s="18">
        <v>274.17</v>
      </c>
      <c r="J52" s="19">
        <v>0.44</v>
      </c>
      <c r="K52" s="19">
        <f t="shared" si="13"/>
        <v>4.2226487523992322E-2</v>
      </c>
      <c r="L52" s="19"/>
      <c r="M52" s="19">
        <v>6.25E-2</v>
      </c>
      <c r="N52" s="19">
        <f t="shared" si="1"/>
        <v>2.6391554702495201E-3</v>
      </c>
      <c r="O52" s="19"/>
    </row>
    <row r="53" spans="1:15">
      <c r="A53" s="20" t="s">
        <v>47</v>
      </c>
      <c r="B53" s="21" t="s">
        <v>47</v>
      </c>
      <c r="C53" s="21" t="s">
        <v>47</v>
      </c>
      <c r="D53" s="21"/>
      <c r="E53" s="21"/>
      <c r="F53" s="21">
        <v>4</v>
      </c>
      <c r="G53" s="22" t="s">
        <v>16</v>
      </c>
      <c r="H53" s="20">
        <v>274.51</v>
      </c>
      <c r="I53" s="21">
        <v>274.45999999999998</v>
      </c>
      <c r="J53" s="19">
        <v>0.05</v>
      </c>
      <c r="K53" s="19">
        <f t="shared" si="13"/>
        <v>4.7984644913627644E-3</v>
      </c>
      <c r="L53" s="19"/>
      <c r="M53" s="19">
        <v>3.5999999999999997E-2</v>
      </c>
      <c r="N53" s="19">
        <f t="shared" si="1"/>
        <v>1.7274472168905952E-4</v>
      </c>
      <c r="O53" s="19"/>
    </row>
    <row r="54" spans="1:15">
      <c r="A54" s="17">
        <v>14</v>
      </c>
      <c r="B54" s="19" t="s">
        <v>56</v>
      </c>
      <c r="C54" s="17">
        <v>25.1</v>
      </c>
      <c r="D54" s="18">
        <v>0.32173913043478275</v>
      </c>
      <c r="E54" s="18">
        <f>C54*(1-D54)</f>
        <v>17.024347826086952</v>
      </c>
      <c r="F54" s="18">
        <v>5</v>
      </c>
      <c r="G54" s="19" t="s">
        <v>13</v>
      </c>
      <c r="H54" s="17">
        <v>273.14</v>
      </c>
      <c r="I54" s="18">
        <v>262.19</v>
      </c>
      <c r="J54" s="19">
        <v>10.95</v>
      </c>
      <c r="K54" s="19">
        <f>J54/17.02</f>
        <v>0.64336075205640419</v>
      </c>
      <c r="L54" s="19">
        <f>SUM(K54:K57)</f>
        <v>0.98942420681551102</v>
      </c>
      <c r="M54">
        <v>2</v>
      </c>
      <c r="N54" s="19">
        <f t="shared" si="1"/>
        <v>1.2867215041128084</v>
      </c>
      <c r="O54" s="19">
        <f>SUM(N54:N57)</f>
        <v>1.3277206227967098</v>
      </c>
    </row>
    <row r="55" spans="1:15">
      <c r="A55" s="17" t="s">
        <v>47</v>
      </c>
      <c r="B55" s="25" t="s">
        <v>47</v>
      </c>
      <c r="C55" s="18" t="s">
        <v>47</v>
      </c>
      <c r="D55" s="18"/>
      <c r="E55" s="18"/>
      <c r="F55" s="18">
        <v>6</v>
      </c>
      <c r="G55" s="19" t="s">
        <v>14</v>
      </c>
      <c r="H55" s="17">
        <v>286.36</v>
      </c>
      <c r="I55" s="18">
        <v>285.95</v>
      </c>
      <c r="J55" s="19">
        <v>0.41</v>
      </c>
      <c r="K55" s="19">
        <f t="shared" ref="K55:K57" si="14">J55/17.02</f>
        <v>2.4089306698002348E-2</v>
      </c>
      <c r="L55" s="19"/>
      <c r="M55" s="19">
        <v>0.875</v>
      </c>
      <c r="N55" s="19">
        <f t="shared" si="1"/>
        <v>2.1078143360752054E-2</v>
      </c>
      <c r="O55" s="19"/>
    </row>
    <row r="56" spans="1:15">
      <c r="A56" s="17" t="s">
        <v>47</v>
      </c>
      <c r="B56" s="18" t="s">
        <v>47</v>
      </c>
      <c r="C56" s="18" t="s">
        <v>47</v>
      </c>
      <c r="D56" s="18"/>
      <c r="E56" s="18"/>
      <c r="F56" s="18">
        <v>7</v>
      </c>
      <c r="G56" s="19" t="s">
        <v>15</v>
      </c>
      <c r="H56" s="17">
        <v>292.02</v>
      </c>
      <c r="I56" s="18">
        <v>286.67</v>
      </c>
      <c r="J56" s="19">
        <v>5.35</v>
      </c>
      <c r="K56" s="19">
        <f t="shared" si="14"/>
        <v>0.31433607520564039</v>
      </c>
      <c r="L56" s="19"/>
      <c r="M56" s="19">
        <v>6.25E-2</v>
      </c>
      <c r="N56" s="19">
        <f t="shared" si="1"/>
        <v>1.9646004700352524E-2</v>
      </c>
      <c r="O56" s="19"/>
    </row>
    <row r="57" spans="1:15">
      <c r="A57" s="20" t="s">
        <v>47</v>
      </c>
      <c r="B57" s="21" t="s">
        <v>47</v>
      </c>
      <c r="C57" s="21" t="s">
        <v>47</v>
      </c>
      <c r="D57" s="21"/>
      <c r="E57" s="21"/>
      <c r="F57" s="21">
        <v>8</v>
      </c>
      <c r="G57" s="22" t="s">
        <v>16</v>
      </c>
      <c r="H57" s="20">
        <v>285.20999999999998</v>
      </c>
      <c r="I57" s="21">
        <v>285.08</v>
      </c>
      <c r="J57" s="19">
        <v>0.13</v>
      </c>
      <c r="K57" s="19">
        <f t="shared" si="14"/>
        <v>7.6380728554641605E-3</v>
      </c>
      <c r="L57" s="19"/>
      <c r="M57" s="19">
        <v>3.5999999999999997E-2</v>
      </c>
      <c r="N57" s="19">
        <f t="shared" si="1"/>
        <v>2.7497062279670974E-4</v>
      </c>
      <c r="O57" s="19"/>
    </row>
    <row r="58" spans="1:15">
      <c r="A58" s="17">
        <v>15</v>
      </c>
      <c r="B58" s="19" t="s">
        <v>57</v>
      </c>
      <c r="C58" s="17">
        <v>25.16</v>
      </c>
      <c r="D58" s="18">
        <v>0.43192488262910794</v>
      </c>
      <c r="E58" s="18">
        <f>C58*(1-D58)</f>
        <v>14.292769953051643</v>
      </c>
      <c r="F58" s="18">
        <v>9</v>
      </c>
      <c r="G58" s="19" t="s">
        <v>13</v>
      </c>
      <c r="H58" s="17">
        <v>283.64</v>
      </c>
      <c r="I58" s="18">
        <v>275.38</v>
      </c>
      <c r="J58" s="19">
        <v>8.26</v>
      </c>
      <c r="K58" s="19">
        <f>J58/14.29</f>
        <v>0.57802659202239326</v>
      </c>
      <c r="L58" s="19">
        <f>SUM(K58:K61)</f>
        <v>0.97480755773268024</v>
      </c>
      <c r="M58">
        <v>2</v>
      </c>
      <c r="N58" s="19">
        <f t="shared" si="1"/>
        <v>1.1560531840447865</v>
      </c>
      <c r="O58" s="19">
        <f>SUM(N58:N61)</f>
        <v>1.4792078376487052</v>
      </c>
    </row>
    <row r="59" spans="1:15">
      <c r="A59" s="17" t="s">
        <v>47</v>
      </c>
      <c r="B59" s="25" t="s">
        <v>47</v>
      </c>
      <c r="C59" s="18" t="s">
        <v>47</v>
      </c>
      <c r="D59" s="18"/>
      <c r="E59" s="18"/>
      <c r="F59" s="18">
        <v>10</v>
      </c>
      <c r="G59" s="19" t="s">
        <v>14</v>
      </c>
      <c r="H59" s="17">
        <v>280.01</v>
      </c>
      <c r="I59" s="18">
        <v>274.76</v>
      </c>
      <c r="J59" s="19">
        <v>5.25</v>
      </c>
      <c r="K59" s="19">
        <f t="shared" ref="K59:K61" si="15">J59/14.29</f>
        <v>0.36738978306508052</v>
      </c>
      <c r="L59" s="19"/>
      <c r="M59" s="19">
        <v>0.875</v>
      </c>
      <c r="N59" s="19">
        <f t="shared" si="1"/>
        <v>0.32146606018194546</v>
      </c>
      <c r="O59" s="19"/>
    </row>
    <row r="60" spans="1:15">
      <c r="A60" s="17" t="s">
        <v>47</v>
      </c>
      <c r="B60" s="18" t="s">
        <v>47</v>
      </c>
      <c r="C60" s="18" t="s">
        <v>47</v>
      </c>
      <c r="D60" s="18"/>
      <c r="E60" s="18"/>
      <c r="F60" s="18">
        <v>11</v>
      </c>
      <c r="G60" s="19" t="s">
        <v>15</v>
      </c>
      <c r="H60" s="17">
        <v>261.33</v>
      </c>
      <c r="I60" s="18">
        <v>260.99</v>
      </c>
      <c r="J60" s="19">
        <v>0.34</v>
      </c>
      <c r="K60" s="19">
        <f t="shared" si="15"/>
        <v>2.3792862141357597E-2</v>
      </c>
      <c r="L60" s="19"/>
      <c r="M60" s="19">
        <v>6.25E-2</v>
      </c>
      <c r="N60" s="19">
        <f t="shared" si="1"/>
        <v>1.4870538838348498E-3</v>
      </c>
      <c r="O60" s="19"/>
    </row>
    <row r="61" spans="1:15">
      <c r="A61" s="20" t="s">
        <v>47</v>
      </c>
      <c r="B61" s="21" t="s">
        <v>47</v>
      </c>
      <c r="C61" s="21" t="s">
        <v>47</v>
      </c>
      <c r="D61" s="21"/>
      <c r="E61" s="21"/>
      <c r="F61" s="21">
        <v>12</v>
      </c>
      <c r="G61" s="22" t="s">
        <v>16</v>
      </c>
      <c r="H61" s="20">
        <v>273.36</v>
      </c>
      <c r="I61" s="21">
        <v>273.27999999999997</v>
      </c>
      <c r="J61" s="19">
        <v>0.08</v>
      </c>
      <c r="K61" s="19">
        <f t="shared" si="15"/>
        <v>5.5983205038488458E-3</v>
      </c>
      <c r="L61" s="19"/>
      <c r="M61" s="19">
        <v>3.5999999999999997E-2</v>
      </c>
      <c r="N61" s="19">
        <f t="shared" si="1"/>
        <v>2.0153953813855844E-4</v>
      </c>
      <c r="O61" s="19"/>
    </row>
    <row r="62" spans="1:15">
      <c r="A62" s="17">
        <v>16</v>
      </c>
      <c r="B62" s="19" t="s">
        <v>58</v>
      </c>
      <c r="C62" s="17">
        <v>25.16</v>
      </c>
      <c r="D62" s="42">
        <v>0.25941422594142266</v>
      </c>
      <c r="E62" s="18">
        <f>C62*(1-D62)</f>
        <v>18.633138075313806</v>
      </c>
      <c r="F62" s="18">
        <v>13</v>
      </c>
      <c r="G62" s="19" t="s">
        <v>13</v>
      </c>
      <c r="H62" s="17">
        <v>288.31</v>
      </c>
      <c r="I62" s="18">
        <v>284.44</v>
      </c>
      <c r="J62" s="19">
        <v>3.87</v>
      </c>
      <c r="K62" s="19">
        <f>J62/18.63</f>
        <v>0.20772946859903382</v>
      </c>
      <c r="L62" s="19">
        <f>SUM(K62:K65)</f>
        <v>0.41599570585077833</v>
      </c>
      <c r="M62">
        <v>2</v>
      </c>
      <c r="N62" s="19">
        <f t="shared" si="1"/>
        <v>0.41545893719806765</v>
      </c>
      <c r="O62" s="19">
        <f>SUM(N62:N65)</f>
        <v>0.57209796027911974</v>
      </c>
    </row>
    <row r="63" spans="1:15">
      <c r="A63" s="17" t="s">
        <v>47</v>
      </c>
      <c r="B63" s="25" t="s">
        <v>47</v>
      </c>
      <c r="C63" s="18" t="s">
        <v>47</v>
      </c>
      <c r="D63" s="18"/>
      <c r="E63" s="18"/>
      <c r="F63" s="18">
        <v>14</v>
      </c>
      <c r="G63" s="19" t="s">
        <v>14</v>
      </c>
      <c r="H63" s="17">
        <v>279.33</v>
      </c>
      <c r="I63" s="18">
        <v>276.02999999999997</v>
      </c>
      <c r="J63" s="19">
        <v>3.3</v>
      </c>
      <c r="K63" s="19">
        <f t="shared" ref="K63:K65" si="16">J63/18.63</f>
        <v>0.17713365539452497</v>
      </c>
      <c r="L63" s="19"/>
      <c r="M63" s="19">
        <v>0.875</v>
      </c>
      <c r="N63" s="19">
        <f t="shared" si="1"/>
        <v>0.15499194847020936</v>
      </c>
      <c r="O63" s="19"/>
    </row>
    <row r="64" spans="1:15">
      <c r="A64" s="23" t="s">
        <v>47</v>
      </c>
      <c r="B64" s="24" t="s">
        <v>47</v>
      </c>
      <c r="C64" s="24" t="s">
        <v>47</v>
      </c>
      <c r="D64" s="24"/>
      <c r="E64" s="24"/>
      <c r="F64" s="24">
        <v>15</v>
      </c>
      <c r="G64" s="19" t="s">
        <v>15</v>
      </c>
      <c r="H64" s="17">
        <v>286.37</v>
      </c>
      <c r="I64" s="18">
        <v>286</v>
      </c>
      <c r="J64" s="19">
        <v>0.37</v>
      </c>
      <c r="K64" s="19">
        <f t="shared" si="16"/>
        <v>1.9860440150295224E-2</v>
      </c>
      <c r="L64" s="19"/>
      <c r="M64" s="19">
        <v>6.25E-2</v>
      </c>
      <c r="N64" s="19">
        <f t="shared" si="1"/>
        <v>1.2412775093934515E-3</v>
      </c>
      <c r="O64" s="19"/>
    </row>
    <row r="65" spans="1:15">
      <c r="A65" s="13" t="s">
        <v>47</v>
      </c>
      <c r="B65" s="14" t="s">
        <v>47</v>
      </c>
      <c r="C65" s="14" t="s">
        <v>47</v>
      </c>
      <c r="D65" s="14"/>
      <c r="E65" s="14"/>
      <c r="F65" s="14">
        <v>16</v>
      </c>
      <c r="G65" s="14" t="s">
        <v>16</v>
      </c>
      <c r="H65" s="18">
        <v>275.73</v>
      </c>
      <c r="I65" s="18">
        <v>275.52</v>
      </c>
      <c r="J65" s="19">
        <v>0.21</v>
      </c>
      <c r="K65" s="19">
        <f t="shared" si="16"/>
        <v>1.1272141706924315E-2</v>
      </c>
      <c r="L65" s="19"/>
      <c r="M65" s="19">
        <v>3.5999999999999997E-2</v>
      </c>
      <c r="N65" s="19">
        <f t="shared" si="1"/>
        <v>4.0579710144927531E-4</v>
      </c>
      <c r="O65" s="19"/>
    </row>
    <row r="66" spans="1:15">
      <c r="A66" s="17">
        <v>17</v>
      </c>
      <c r="B66" s="18" t="s">
        <v>59</v>
      </c>
      <c r="C66" s="18">
        <v>24.96</v>
      </c>
      <c r="D66" s="18">
        <v>0.4</v>
      </c>
      <c r="E66" s="18">
        <f>C66*(1-D66)</f>
        <v>14.975999999999999</v>
      </c>
      <c r="F66" s="18">
        <v>1</v>
      </c>
      <c r="G66" s="19" t="s">
        <v>13</v>
      </c>
      <c r="H66" s="17">
        <v>269.61</v>
      </c>
      <c r="I66" s="18">
        <v>260.83</v>
      </c>
      <c r="J66" s="19">
        <v>8.7799999999999994</v>
      </c>
      <c r="K66" s="19">
        <f>J66/14.98</f>
        <v>0.5861148197596795</v>
      </c>
      <c r="L66" s="19">
        <f>SUM(K66:K69)</f>
        <v>1.034712950600801</v>
      </c>
      <c r="M66">
        <v>2</v>
      </c>
      <c r="N66" s="19">
        <f t="shared" si="1"/>
        <v>1.172229639519359</v>
      </c>
      <c r="O66" s="19">
        <f>SUM(N66:N69)</f>
        <v>1.5620764352469958</v>
      </c>
    </row>
    <row r="67" spans="1:15">
      <c r="A67" s="17" t="s">
        <v>47</v>
      </c>
      <c r="B67" s="18" t="s">
        <v>47</v>
      </c>
      <c r="C67" s="18" t="s">
        <v>47</v>
      </c>
      <c r="D67" s="18"/>
      <c r="E67" s="18"/>
      <c r="F67" s="18">
        <v>2</v>
      </c>
      <c r="G67" s="19" t="s">
        <v>14</v>
      </c>
      <c r="H67" s="17">
        <v>267.74</v>
      </c>
      <c r="I67" s="18">
        <v>261.07</v>
      </c>
      <c r="J67" s="19">
        <v>6.67</v>
      </c>
      <c r="K67" s="19">
        <f t="shared" ref="K67:K69" si="17">J67/14.98</f>
        <v>0.44526034712950602</v>
      </c>
      <c r="L67" s="19"/>
      <c r="M67" s="19">
        <v>0.875</v>
      </c>
      <c r="N67" s="19">
        <f t="shared" ref="N67:N130" si="18">K67*M67</f>
        <v>0.38960280373831779</v>
      </c>
      <c r="O67" s="19"/>
    </row>
    <row r="68" spans="1:15">
      <c r="A68" s="17" t="s">
        <v>47</v>
      </c>
      <c r="B68" s="18" t="s">
        <v>47</v>
      </c>
      <c r="C68" s="18" t="s">
        <v>47</v>
      </c>
      <c r="D68" s="18"/>
      <c r="E68" s="18"/>
      <c r="F68" s="18">
        <v>3</v>
      </c>
      <c r="G68" s="19" t="s">
        <v>15</v>
      </c>
      <c r="H68" s="17">
        <v>273.99</v>
      </c>
      <c r="I68" s="18">
        <v>273.92</v>
      </c>
      <c r="J68" s="19">
        <v>7.0000000000000007E-2</v>
      </c>
      <c r="K68" s="19">
        <f t="shared" si="17"/>
        <v>4.6728971962616828E-3</v>
      </c>
      <c r="L68" s="19"/>
      <c r="M68" s="19">
        <v>6.25E-2</v>
      </c>
      <c r="N68" s="19">
        <f t="shared" si="18"/>
        <v>2.9205607476635517E-4</v>
      </c>
      <c r="O68" s="19"/>
    </row>
    <row r="69" spans="1:15">
      <c r="A69" s="20" t="s">
        <v>47</v>
      </c>
      <c r="B69" s="21" t="s">
        <v>47</v>
      </c>
      <c r="C69" s="21" t="s">
        <v>47</v>
      </c>
      <c r="D69" s="21"/>
      <c r="E69" s="21"/>
      <c r="F69" s="21">
        <v>4</v>
      </c>
      <c r="G69" s="22" t="s">
        <v>16</v>
      </c>
      <c r="H69" s="20">
        <v>273.99</v>
      </c>
      <c r="I69" s="21">
        <v>274.01</v>
      </c>
      <c r="J69" s="19">
        <v>-0.02</v>
      </c>
      <c r="K69" s="19">
        <f t="shared" si="17"/>
        <v>-1.3351134846461949E-3</v>
      </c>
      <c r="L69" s="19"/>
      <c r="M69" s="19">
        <v>3.5999999999999997E-2</v>
      </c>
      <c r="N69" s="19">
        <f t="shared" si="18"/>
        <v>-4.8064085447263014E-5</v>
      </c>
      <c r="O69" s="19"/>
    </row>
    <row r="70" spans="1:15">
      <c r="A70" s="17">
        <v>18</v>
      </c>
      <c r="B70" s="18" t="s">
        <v>60</v>
      </c>
      <c r="C70" s="18">
        <v>25</v>
      </c>
      <c r="D70">
        <v>0.23456790123456805</v>
      </c>
      <c r="E70" s="18">
        <f>C70*(1-D70)</f>
        <v>19.135802469135797</v>
      </c>
      <c r="F70" s="18">
        <v>5</v>
      </c>
      <c r="G70" s="19" t="s">
        <v>13</v>
      </c>
      <c r="H70" s="17">
        <v>274.51</v>
      </c>
      <c r="I70" s="18">
        <v>261.60000000000002</v>
      </c>
      <c r="J70" s="19">
        <v>12.91</v>
      </c>
      <c r="K70" s="19">
        <f>J70/19.14</f>
        <v>0.6745036572622779</v>
      </c>
      <c r="L70" s="19">
        <f>SUM(K70:K73)</f>
        <v>0.9456635318704284</v>
      </c>
      <c r="M70">
        <v>2</v>
      </c>
      <c r="N70" s="19">
        <f t="shared" si="18"/>
        <v>1.3490073145245558</v>
      </c>
      <c r="O70" s="19">
        <f>SUM(N70:N73)</f>
        <v>1.5794247648902822</v>
      </c>
    </row>
    <row r="71" spans="1:15">
      <c r="A71" s="17" t="s">
        <v>47</v>
      </c>
      <c r="B71" s="18" t="s">
        <v>47</v>
      </c>
      <c r="C71" s="18" t="s">
        <v>47</v>
      </c>
      <c r="D71" s="18"/>
      <c r="E71" s="18"/>
      <c r="F71" s="18">
        <v>6</v>
      </c>
      <c r="G71" s="19" t="s">
        <v>14</v>
      </c>
      <c r="H71" s="17">
        <v>291.08999999999997</v>
      </c>
      <c r="I71" s="18">
        <v>286.06</v>
      </c>
      <c r="J71" s="19">
        <v>5.03</v>
      </c>
      <c r="K71" s="19">
        <f t="shared" ref="K71:K73" si="19">J71/19.14</f>
        <v>0.26280041797283177</v>
      </c>
      <c r="L71" s="19"/>
      <c r="M71" s="19">
        <v>0.875</v>
      </c>
      <c r="N71" s="19">
        <f t="shared" si="18"/>
        <v>0.22995036572622779</v>
      </c>
      <c r="O71" s="19"/>
    </row>
    <row r="72" spans="1:15">
      <c r="A72" s="17" t="s">
        <v>47</v>
      </c>
      <c r="B72" s="18" t="s">
        <v>47</v>
      </c>
      <c r="C72" s="18" t="s">
        <v>47</v>
      </c>
      <c r="D72" s="18"/>
      <c r="E72" s="18"/>
      <c r="F72" s="18">
        <v>7</v>
      </c>
      <c r="G72" s="19" t="s">
        <v>15</v>
      </c>
      <c r="H72" s="17">
        <v>286.01</v>
      </c>
      <c r="I72" s="18">
        <v>285.89</v>
      </c>
      <c r="J72" s="19">
        <v>0.12</v>
      </c>
      <c r="K72" s="19">
        <f t="shared" si="19"/>
        <v>6.269592476489028E-3</v>
      </c>
      <c r="L72" s="19"/>
      <c r="M72" s="19">
        <v>6.25E-2</v>
      </c>
      <c r="N72" s="19">
        <f t="shared" si="18"/>
        <v>3.9184952978056425E-4</v>
      </c>
      <c r="O72" s="19"/>
    </row>
    <row r="73" spans="1:15">
      <c r="A73" s="20" t="s">
        <v>47</v>
      </c>
      <c r="B73" s="21" t="s">
        <v>47</v>
      </c>
      <c r="C73" s="21" t="s">
        <v>47</v>
      </c>
      <c r="D73" s="21"/>
      <c r="E73" s="21"/>
      <c r="F73" s="21">
        <v>8</v>
      </c>
      <c r="G73" s="22" t="s">
        <v>16</v>
      </c>
      <c r="H73" s="20">
        <v>284.77999999999997</v>
      </c>
      <c r="I73" s="21">
        <v>284.74</v>
      </c>
      <c r="J73" s="19">
        <v>0.04</v>
      </c>
      <c r="K73" s="19">
        <f t="shared" si="19"/>
        <v>2.0898641588296758E-3</v>
      </c>
      <c r="L73" s="19"/>
      <c r="M73" s="19">
        <v>3.5999999999999997E-2</v>
      </c>
      <c r="N73" s="19">
        <f t="shared" si="18"/>
        <v>7.5235109717868329E-5</v>
      </c>
      <c r="O73" s="19"/>
    </row>
    <row r="74" spans="1:15">
      <c r="A74" s="17">
        <v>19</v>
      </c>
      <c r="B74" s="18" t="s">
        <v>61</v>
      </c>
      <c r="C74" s="18">
        <v>24.93</v>
      </c>
      <c r="D74">
        <v>0.37554585152838421</v>
      </c>
      <c r="E74" s="18">
        <f>C74*(1-D74)</f>
        <v>15.56764192139738</v>
      </c>
      <c r="F74" s="18">
        <v>9</v>
      </c>
      <c r="G74" s="19" t="s">
        <v>13</v>
      </c>
      <c r="H74" s="17">
        <v>286.5</v>
      </c>
      <c r="I74" s="18">
        <v>275.22000000000003</v>
      </c>
      <c r="J74" s="19">
        <v>11.28</v>
      </c>
      <c r="K74" s="19">
        <f>J74/15.57</f>
        <v>0.72447013487475909</v>
      </c>
      <c r="L74" s="19">
        <f>SUM(K74:K77)</f>
        <v>1.0578034682080923</v>
      </c>
      <c r="M74">
        <v>2</v>
      </c>
      <c r="N74" s="19">
        <f t="shared" si="18"/>
        <v>1.4489402697495182</v>
      </c>
      <c r="O74" s="19">
        <f>SUM(N74:N77)</f>
        <v>1.7222915863840718</v>
      </c>
    </row>
    <row r="75" spans="1:15">
      <c r="A75" s="17" t="s">
        <v>47</v>
      </c>
      <c r="B75" s="18" t="s">
        <v>47</v>
      </c>
      <c r="C75" s="18" t="s">
        <v>47</v>
      </c>
      <c r="D75" s="18"/>
      <c r="E75" s="18"/>
      <c r="F75" s="18">
        <v>10</v>
      </c>
      <c r="G75" s="19" t="s">
        <v>14</v>
      </c>
      <c r="H75" s="17">
        <v>279.74</v>
      </c>
      <c r="I75" s="18">
        <v>274.89999999999998</v>
      </c>
      <c r="J75" s="19">
        <v>4.84</v>
      </c>
      <c r="K75" s="19">
        <f t="shared" ref="K75:K77" si="20">J75/15.57</f>
        <v>0.310854206807964</v>
      </c>
      <c r="L75" s="19"/>
      <c r="M75" s="19">
        <v>0.875</v>
      </c>
      <c r="N75" s="19">
        <f t="shared" si="18"/>
        <v>0.27199743095696849</v>
      </c>
      <c r="O75" s="19"/>
    </row>
    <row r="76" spans="1:15">
      <c r="A76" s="17" t="s">
        <v>47</v>
      </c>
      <c r="B76" s="18" t="s">
        <v>47</v>
      </c>
      <c r="C76" s="18" t="s">
        <v>47</v>
      </c>
      <c r="D76" s="18"/>
      <c r="E76" s="18"/>
      <c r="F76" s="18">
        <v>11</v>
      </c>
      <c r="G76" s="19" t="s">
        <v>15</v>
      </c>
      <c r="H76" s="17">
        <v>261.05</v>
      </c>
      <c r="I76" s="18">
        <v>260.73</v>
      </c>
      <c r="J76" s="19">
        <v>0.32</v>
      </c>
      <c r="K76" s="19">
        <f t="shared" si="20"/>
        <v>2.0552344251766216E-2</v>
      </c>
      <c r="L76" s="19"/>
      <c r="M76" s="19">
        <v>6.25E-2</v>
      </c>
      <c r="N76" s="19">
        <f t="shared" si="18"/>
        <v>1.2845215157353885E-3</v>
      </c>
      <c r="O76" s="19"/>
    </row>
    <row r="77" spans="1:15">
      <c r="A77" s="20" t="s">
        <v>47</v>
      </c>
      <c r="B77" s="21" t="s">
        <v>47</v>
      </c>
      <c r="C77" s="21" t="s">
        <v>47</v>
      </c>
      <c r="D77" s="21"/>
      <c r="E77" s="21"/>
      <c r="F77" s="21">
        <v>12</v>
      </c>
      <c r="G77" s="22" t="s">
        <v>16</v>
      </c>
      <c r="H77" s="20">
        <v>273.18</v>
      </c>
      <c r="I77" s="21">
        <v>273.14999999999998</v>
      </c>
      <c r="J77" s="19">
        <v>0.03</v>
      </c>
      <c r="K77" s="19">
        <f t="shared" si="20"/>
        <v>1.9267822736030828E-3</v>
      </c>
      <c r="L77" s="19"/>
      <c r="M77" s="19">
        <v>3.5999999999999997E-2</v>
      </c>
      <c r="N77" s="19">
        <f t="shared" si="18"/>
        <v>6.9364161849710983E-5</v>
      </c>
      <c r="O77" s="19"/>
    </row>
    <row r="78" spans="1:15">
      <c r="A78" s="17">
        <v>20</v>
      </c>
      <c r="B78" s="18" t="s">
        <v>62</v>
      </c>
      <c r="C78" s="18">
        <v>24.73</v>
      </c>
      <c r="D78">
        <v>0.20618556701030916</v>
      </c>
      <c r="E78" s="18">
        <f>C78*(1-D78)</f>
        <v>19.631030927835052</v>
      </c>
      <c r="F78" s="18">
        <v>13</v>
      </c>
      <c r="G78" s="19" t="s">
        <v>13</v>
      </c>
      <c r="H78" s="17">
        <v>292.2</v>
      </c>
      <c r="I78" s="18">
        <v>284.17</v>
      </c>
      <c r="J78" s="19">
        <v>8.0299999999999994</v>
      </c>
      <c r="K78" s="19">
        <f>J78/19.63</f>
        <v>0.40906775343861435</v>
      </c>
      <c r="L78" s="19">
        <f>SUM(K78:K81)</f>
        <v>0.83138053998981165</v>
      </c>
      <c r="M78">
        <v>2</v>
      </c>
      <c r="N78" s="19">
        <f t="shared" si="18"/>
        <v>0.81813550687722869</v>
      </c>
      <c r="O78" s="19">
        <f>SUM(N78:N81)</f>
        <v>1.1580287824758024</v>
      </c>
    </row>
    <row r="79" spans="1:15">
      <c r="A79" s="17" t="s">
        <v>47</v>
      </c>
      <c r="B79" s="18" t="s">
        <v>47</v>
      </c>
      <c r="C79" s="18" t="s">
        <v>47</v>
      </c>
      <c r="D79" s="18"/>
      <c r="E79" s="18"/>
      <c r="F79" s="18">
        <v>14</v>
      </c>
      <c r="G79" s="19" t="s">
        <v>14</v>
      </c>
      <c r="H79" s="17">
        <v>281.79000000000002</v>
      </c>
      <c r="I79" s="18">
        <v>274.20999999999998</v>
      </c>
      <c r="J79" s="19">
        <v>7.58</v>
      </c>
      <c r="K79" s="19">
        <f t="shared" ref="K79:K81" si="21">J79/19.63</f>
        <v>0.3861436576668365</v>
      </c>
      <c r="L79" s="19"/>
      <c r="M79" s="19">
        <v>0.875</v>
      </c>
      <c r="N79" s="19">
        <f t="shared" si="18"/>
        <v>0.33787570045848192</v>
      </c>
      <c r="O79" s="19"/>
    </row>
    <row r="80" spans="1:15">
      <c r="A80" s="23" t="s">
        <v>47</v>
      </c>
      <c r="B80" s="24" t="s">
        <v>47</v>
      </c>
      <c r="C80" s="24" t="s">
        <v>47</v>
      </c>
      <c r="D80" s="24"/>
      <c r="E80" s="24"/>
      <c r="F80" s="24">
        <v>15</v>
      </c>
      <c r="G80" s="19" t="s">
        <v>15</v>
      </c>
      <c r="H80" s="17">
        <v>286.51</v>
      </c>
      <c r="I80" s="24">
        <v>285.98</v>
      </c>
      <c r="J80" s="19">
        <v>0.53</v>
      </c>
      <c r="K80" s="19">
        <f t="shared" si="21"/>
        <v>2.6999490575649519E-2</v>
      </c>
      <c r="L80" s="19"/>
      <c r="M80" s="19">
        <v>6.25E-2</v>
      </c>
      <c r="N80" s="19">
        <f t="shared" si="18"/>
        <v>1.6874681609780949E-3</v>
      </c>
      <c r="O80" s="19"/>
    </row>
    <row r="81" spans="1:15">
      <c r="A81" s="13" t="s">
        <v>47</v>
      </c>
      <c r="B81" s="14" t="s">
        <v>47</v>
      </c>
      <c r="C81" s="14" t="s">
        <v>47</v>
      </c>
      <c r="D81" s="14"/>
      <c r="E81" s="14"/>
      <c r="F81" s="14">
        <v>16</v>
      </c>
      <c r="G81" s="14" t="s">
        <v>16</v>
      </c>
      <c r="H81" s="24">
        <v>275.58999999999997</v>
      </c>
      <c r="I81" s="14">
        <v>275.41000000000003</v>
      </c>
      <c r="J81" s="19">
        <v>0.18</v>
      </c>
      <c r="K81" s="19">
        <f t="shared" si="21"/>
        <v>9.1696383087111564E-3</v>
      </c>
      <c r="L81" s="19"/>
      <c r="M81" s="19">
        <v>3.5999999999999997E-2</v>
      </c>
      <c r="N81" s="19">
        <f t="shared" si="18"/>
        <v>3.301069791136016E-4</v>
      </c>
      <c r="O81" s="19"/>
    </row>
    <row r="82" spans="1:15">
      <c r="A82" s="17">
        <v>21</v>
      </c>
      <c r="B82" s="18" t="s">
        <v>63</v>
      </c>
      <c r="C82" s="18">
        <v>25.14</v>
      </c>
      <c r="D82">
        <v>0.32751091703056767</v>
      </c>
      <c r="E82" s="18">
        <f>C82*(1-D82)</f>
        <v>16.906375545851528</v>
      </c>
      <c r="F82" s="18" t="s">
        <v>64</v>
      </c>
      <c r="G82" s="18" t="s">
        <v>13</v>
      </c>
      <c r="H82" s="18">
        <v>282.44</v>
      </c>
      <c r="I82" s="18">
        <v>273.45</v>
      </c>
      <c r="J82" s="19">
        <v>8.99</v>
      </c>
      <c r="K82" s="19">
        <f>J82/16.91</f>
        <v>0.53163808397397994</v>
      </c>
      <c r="L82" s="19">
        <f>SUM(K82:K85)</f>
        <v>1.0153755174452987</v>
      </c>
      <c r="M82">
        <v>2</v>
      </c>
      <c r="N82" s="19">
        <f t="shared" si="18"/>
        <v>1.0632761679479599</v>
      </c>
      <c r="O82" s="19">
        <f>SUM(N82:N85)</f>
        <v>1.4521342400946187</v>
      </c>
    </row>
    <row r="83" spans="1:15">
      <c r="A83" s="17" t="s">
        <v>47</v>
      </c>
      <c r="B83" s="18" t="s">
        <v>47</v>
      </c>
      <c r="C83" s="18" t="s">
        <v>47</v>
      </c>
      <c r="D83" s="18"/>
      <c r="E83" s="18"/>
      <c r="F83" s="18" t="s">
        <v>65</v>
      </c>
      <c r="G83" s="18" t="s">
        <v>14</v>
      </c>
      <c r="H83" s="18">
        <v>293.86</v>
      </c>
      <c r="I83" s="18">
        <v>286.39</v>
      </c>
      <c r="J83" s="19">
        <v>7.47</v>
      </c>
      <c r="K83" s="19">
        <f t="shared" ref="K83:K85" si="22">J83/16.91</f>
        <v>0.44175044352454168</v>
      </c>
      <c r="L83" s="19"/>
      <c r="M83" s="19">
        <v>0.875</v>
      </c>
      <c r="N83" s="19">
        <f t="shared" si="18"/>
        <v>0.38653163808397395</v>
      </c>
      <c r="O83" s="19"/>
    </row>
    <row r="84" spans="1:15">
      <c r="A84" s="17" t="s">
        <v>47</v>
      </c>
      <c r="B84" s="18" t="s">
        <v>47</v>
      </c>
      <c r="C84" s="18" t="s">
        <v>47</v>
      </c>
      <c r="D84" s="18"/>
      <c r="E84" s="18"/>
      <c r="F84" s="18" t="s">
        <v>66</v>
      </c>
      <c r="G84" s="18" t="s">
        <v>15</v>
      </c>
      <c r="H84" s="18">
        <v>284.97000000000003</v>
      </c>
      <c r="I84" s="18">
        <v>284.45</v>
      </c>
      <c r="J84" s="19">
        <v>0.52</v>
      </c>
      <c r="K84" s="19">
        <f t="shared" si="22"/>
        <v>3.075103489059728E-2</v>
      </c>
      <c r="L84" s="19"/>
      <c r="M84" s="19">
        <v>6.25E-2</v>
      </c>
      <c r="N84" s="19">
        <f t="shared" si="18"/>
        <v>1.92193968066233E-3</v>
      </c>
      <c r="O84" s="19"/>
    </row>
    <row r="85" spans="1:15">
      <c r="A85" s="20" t="s">
        <v>47</v>
      </c>
      <c r="B85" s="21" t="s">
        <v>47</v>
      </c>
      <c r="C85" s="21" t="s">
        <v>47</v>
      </c>
      <c r="D85" s="21"/>
      <c r="E85" s="21"/>
      <c r="F85" s="21" t="s">
        <v>67</v>
      </c>
      <c r="G85" s="22" t="s">
        <v>16</v>
      </c>
      <c r="H85" s="20">
        <v>261.58</v>
      </c>
      <c r="I85" s="21">
        <v>261.39</v>
      </c>
      <c r="J85" s="19">
        <v>0.19</v>
      </c>
      <c r="K85" s="19">
        <f t="shared" si="22"/>
        <v>1.1235955056179775E-2</v>
      </c>
      <c r="L85" s="19"/>
      <c r="M85" s="19">
        <v>3.5999999999999997E-2</v>
      </c>
      <c r="N85" s="19">
        <f t="shared" si="18"/>
        <v>4.0449438202247185E-4</v>
      </c>
      <c r="O85" s="19"/>
    </row>
    <row r="86" spans="1:15">
      <c r="A86" s="17">
        <v>22</v>
      </c>
      <c r="B86" s="18" t="s">
        <v>68</v>
      </c>
      <c r="C86" s="18">
        <v>25.22</v>
      </c>
      <c r="D86">
        <v>0.33039647577092485</v>
      </c>
      <c r="E86" s="18">
        <f>C86*(1-D86)</f>
        <v>16.887400881057275</v>
      </c>
      <c r="F86" s="18" t="s">
        <v>69</v>
      </c>
      <c r="G86" s="19" t="s">
        <v>13</v>
      </c>
      <c r="H86" s="17">
        <v>268.10000000000002</v>
      </c>
      <c r="I86" s="18">
        <v>260.58</v>
      </c>
      <c r="J86" s="19">
        <v>7.52</v>
      </c>
      <c r="K86" s="19">
        <f>J86/16.89</f>
        <v>0.44523386619301358</v>
      </c>
      <c r="L86" s="19">
        <f>SUM(K86:K89)</f>
        <v>0.99407933688573102</v>
      </c>
      <c r="M86">
        <v>2</v>
      </c>
      <c r="N86" s="19">
        <f t="shared" si="18"/>
        <v>0.89046773238602717</v>
      </c>
      <c r="O86" s="19">
        <f>SUM(N86:N89)</f>
        <v>1.0914295441089401</v>
      </c>
    </row>
    <row r="87" spans="1:15">
      <c r="A87" s="17" t="s">
        <v>47</v>
      </c>
      <c r="B87" s="18" t="s">
        <v>47</v>
      </c>
      <c r="C87" s="18" t="s">
        <v>47</v>
      </c>
      <c r="D87" s="18"/>
      <c r="E87" s="18"/>
      <c r="F87" s="18" t="s">
        <v>70</v>
      </c>
      <c r="G87" s="19" t="s">
        <v>14</v>
      </c>
      <c r="H87" s="17">
        <v>291.3</v>
      </c>
      <c r="I87" s="18">
        <v>287.83</v>
      </c>
      <c r="J87" s="19">
        <v>3.47</v>
      </c>
      <c r="K87" s="19">
        <f t="shared" ref="K87:K89" si="23">J87/16.89</f>
        <v>0.20544701006512731</v>
      </c>
      <c r="L87" s="19"/>
      <c r="M87" s="19">
        <v>0.875</v>
      </c>
      <c r="N87" s="19">
        <f t="shared" si="18"/>
        <v>0.17976613380698639</v>
      </c>
      <c r="O87" s="19"/>
    </row>
    <row r="88" spans="1:15">
      <c r="A88" s="17" t="s">
        <v>47</v>
      </c>
      <c r="B88" s="18" t="s">
        <v>47</v>
      </c>
      <c r="C88" s="18" t="s">
        <v>47</v>
      </c>
      <c r="D88" s="18"/>
      <c r="E88" s="18"/>
      <c r="F88" s="18" t="s">
        <v>71</v>
      </c>
      <c r="G88" s="19" t="s">
        <v>15</v>
      </c>
      <c r="H88" s="17">
        <v>290.72000000000003</v>
      </c>
      <c r="I88" s="18">
        <v>285.08999999999997</v>
      </c>
      <c r="J88" s="19">
        <v>5.63</v>
      </c>
      <c r="K88" s="19">
        <f t="shared" si="23"/>
        <v>0.33333333333333331</v>
      </c>
      <c r="L88" s="19"/>
      <c r="M88" s="19">
        <v>6.25E-2</v>
      </c>
      <c r="N88" s="19">
        <f t="shared" si="18"/>
        <v>2.0833333333333332E-2</v>
      </c>
      <c r="O88" s="19"/>
    </row>
    <row r="89" spans="1:15">
      <c r="A89" s="20" t="s">
        <v>47</v>
      </c>
      <c r="B89" s="21" t="s">
        <v>47</v>
      </c>
      <c r="C89" s="21" t="s">
        <v>47</v>
      </c>
      <c r="D89" s="21"/>
      <c r="E89" s="21"/>
      <c r="F89" s="21" t="s">
        <v>72</v>
      </c>
      <c r="G89" s="22" t="s">
        <v>16</v>
      </c>
      <c r="H89" s="20">
        <v>275.3</v>
      </c>
      <c r="I89" s="21">
        <v>275.13</v>
      </c>
      <c r="J89" s="19">
        <v>0.17</v>
      </c>
      <c r="K89" s="19">
        <f t="shared" si="23"/>
        <v>1.0065127294256957E-2</v>
      </c>
      <c r="L89" s="19"/>
      <c r="M89" s="19">
        <v>3.5999999999999997E-2</v>
      </c>
      <c r="N89" s="19">
        <f t="shared" si="18"/>
        <v>3.6234458259325046E-4</v>
      </c>
      <c r="O89" s="19"/>
    </row>
    <row r="90" spans="1:15">
      <c r="A90" s="17">
        <v>23</v>
      </c>
      <c r="B90" s="18" t="s">
        <v>73</v>
      </c>
      <c r="C90" s="18">
        <v>25.15</v>
      </c>
      <c r="D90">
        <v>0.3008474576271184</v>
      </c>
      <c r="E90" s="18">
        <f>C90*(1-D90)</f>
        <v>17.583686440677972</v>
      </c>
      <c r="F90" s="18" t="s">
        <v>74</v>
      </c>
      <c r="G90" s="19" t="s">
        <v>13</v>
      </c>
      <c r="H90" s="17">
        <v>270.5</v>
      </c>
      <c r="I90" s="18">
        <v>261.06</v>
      </c>
      <c r="J90" s="19">
        <v>9.44</v>
      </c>
      <c r="K90" s="19">
        <f>J90/17.58</f>
        <v>0.53697383390216158</v>
      </c>
      <c r="L90" s="19">
        <f>SUM(K90:K93)</f>
        <v>0.9806598407281002</v>
      </c>
      <c r="M90">
        <v>2</v>
      </c>
      <c r="N90" s="19">
        <f t="shared" si="18"/>
        <v>1.0739476678043232</v>
      </c>
      <c r="O90" s="19">
        <f>SUM(N90:N93)</f>
        <v>1.4486794653014792</v>
      </c>
    </row>
    <row r="91" spans="1:15">
      <c r="A91" s="17" t="s">
        <v>47</v>
      </c>
      <c r="B91" s="18" t="s">
        <v>47</v>
      </c>
      <c r="C91" s="18" t="s">
        <v>47</v>
      </c>
      <c r="D91" s="18"/>
      <c r="E91" s="18"/>
      <c r="F91" s="18" t="s">
        <v>75</v>
      </c>
      <c r="G91" s="19" t="s">
        <v>14</v>
      </c>
      <c r="H91" s="17">
        <v>268.35000000000002</v>
      </c>
      <c r="I91" s="18">
        <v>260.83999999999997</v>
      </c>
      <c r="J91" s="19">
        <v>7.51</v>
      </c>
      <c r="K91" s="19">
        <f t="shared" ref="K91:K93" si="24">J91/17.58</f>
        <v>0.42718998862343577</v>
      </c>
      <c r="L91" s="19"/>
      <c r="M91" s="19">
        <v>0.875</v>
      </c>
      <c r="N91" s="19">
        <f t="shared" si="18"/>
        <v>0.37379124004550629</v>
      </c>
      <c r="O91" s="19"/>
    </row>
    <row r="92" spans="1:15">
      <c r="A92" s="17" t="s">
        <v>47</v>
      </c>
      <c r="B92" s="18" t="s">
        <v>47</v>
      </c>
      <c r="C92" s="18" t="s">
        <v>47</v>
      </c>
      <c r="D92" s="18"/>
      <c r="E92" s="18"/>
      <c r="F92" s="18" t="s">
        <v>76</v>
      </c>
      <c r="G92" s="19" t="s">
        <v>15</v>
      </c>
      <c r="H92" s="17">
        <v>285.01</v>
      </c>
      <c r="I92" s="18">
        <v>284.77999999999997</v>
      </c>
      <c r="J92" s="19">
        <v>0.23</v>
      </c>
      <c r="K92" s="19">
        <f t="shared" si="24"/>
        <v>1.3083048919226396E-2</v>
      </c>
      <c r="L92" s="19"/>
      <c r="M92" s="19">
        <v>6.25E-2</v>
      </c>
      <c r="N92" s="19">
        <f t="shared" si="18"/>
        <v>8.1769055745164977E-4</v>
      </c>
      <c r="O92" s="19"/>
    </row>
    <row r="93" spans="1:15">
      <c r="A93" s="20" t="s">
        <v>47</v>
      </c>
      <c r="B93" s="21" t="s">
        <v>47</v>
      </c>
      <c r="C93" s="21" t="s">
        <v>47</v>
      </c>
      <c r="D93" s="21"/>
      <c r="E93" s="21"/>
      <c r="F93" s="21" t="s">
        <v>77</v>
      </c>
      <c r="G93" s="22" t="s">
        <v>16</v>
      </c>
      <c r="H93" s="20">
        <v>274.45999999999998</v>
      </c>
      <c r="I93" s="21">
        <v>274.39999999999998</v>
      </c>
      <c r="J93" s="19">
        <v>0.06</v>
      </c>
      <c r="K93" s="19">
        <f t="shared" si="24"/>
        <v>3.4129692832764505E-3</v>
      </c>
      <c r="L93" s="19"/>
      <c r="M93" s="19">
        <v>3.5999999999999997E-2</v>
      </c>
      <c r="N93" s="19">
        <f t="shared" si="18"/>
        <v>1.2286689419795221E-4</v>
      </c>
      <c r="O93" s="19"/>
    </row>
    <row r="94" spans="1:15">
      <c r="A94" s="17">
        <v>24</v>
      </c>
      <c r="B94" s="18" t="s">
        <v>78</v>
      </c>
      <c r="C94" s="18">
        <v>25</v>
      </c>
      <c r="D94">
        <v>0.36725663716814111</v>
      </c>
      <c r="E94" s="18">
        <f>C94*(1-D94)</f>
        <v>15.81858407079647</v>
      </c>
      <c r="F94" s="18" t="s">
        <v>79</v>
      </c>
      <c r="G94" s="19" t="s">
        <v>13</v>
      </c>
      <c r="H94" s="17">
        <v>298.26</v>
      </c>
      <c r="I94" s="18">
        <v>287.39</v>
      </c>
      <c r="J94" s="19">
        <v>10.87</v>
      </c>
      <c r="K94" s="19">
        <f>J94/15.82</f>
        <v>0.68710493046776222</v>
      </c>
      <c r="L94" s="19">
        <f>SUM(K94:K97)</f>
        <v>1.0164348925410871</v>
      </c>
      <c r="M94">
        <v>2</v>
      </c>
      <c r="N94" s="19">
        <f t="shared" si="18"/>
        <v>1.3742098609355244</v>
      </c>
      <c r="O94" s="19">
        <f>SUM(N94:N97)</f>
        <v>1.6494333122629581</v>
      </c>
    </row>
    <row r="95" spans="1:15">
      <c r="A95" s="17" t="s">
        <v>47</v>
      </c>
      <c r="B95" s="18" t="s">
        <v>47</v>
      </c>
      <c r="C95" s="18" t="s">
        <v>47</v>
      </c>
      <c r="D95" s="18"/>
      <c r="E95" s="18"/>
      <c r="F95" s="18" t="s">
        <v>80</v>
      </c>
      <c r="G95" s="19" t="s">
        <v>14</v>
      </c>
      <c r="H95" s="17">
        <v>280.38</v>
      </c>
      <c r="I95" s="18">
        <v>275.42</v>
      </c>
      <c r="J95" s="19">
        <v>4.96</v>
      </c>
      <c r="K95" s="19">
        <f t="shared" ref="K95:K97" si="25">J95/15.82</f>
        <v>0.31352718078381797</v>
      </c>
      <c r="L95" s="19"/>
      <c r="M95" s="19">
        <v>0.875</v>
      </c>
      <c r="N95" s="19">
        <f t="shared" si="18"/>
        <v>0.27433628318584075</v>
      </c>
      <c r="O95" s="19"/>
    </row>
    <row r="96" spans="1:15">
      <c r="A96" s="17" t="s">
        <v>47</v>
      </c>
      <c r="B96" s="18" t="s">
        <v>47</v>
      </c>
      <c r="C96" s="18" t="s">
        <v>47</v>
      </c>
      <c r="D96" s="18"/>
      <c r="E96" s="18"/>
      <c r="F96" s="18" t="s">
        <v>81</v>
      </c>
      <c r="G96" s="19" t="s">
        <v>15</v>
      </c>
      <c r="H96" s="17">
        <v>274.82</v>
      </c>
      <c r="I96" s="18">
        <v>274.63</v>
      </c>
      <c r="J96" s="19">
        <v>0.19</v>
      </c>
      <c r="K96" s="19">
        <f t="shared" si="25"/>
        <v>1.2010113780025285E-2</v>
      </c>
      <c r="L96" s="19"/>
      <c r="M96" s="19">
        <v>6.25E-2</v>
      </c>
      <c r="N96" s="19">
        <f t="shared" si="18"/>
        <v>7.5063211125158031E-4</v>
      </c>
      <c r="O96" s="19"/>
    </row>
    <row r="97" spans="1:15">
      <c r="A97" s="20" t="s">
        <v>47</v>
      </c>
      <c r="B97" s="21" t="s">
        <v>47</v>
      </c>
      <c r="C97" s="21" t="s">
        <v>47</v>
      </c>
      <c r="D97" s="21"/>
      <c r="E97" s="21"/>
      <c r="F97" s="21" t="s">
        <v>82</v>
      </c>
      <c r="G97" s="22" t="s">
        <v>16</v>
      </c>
      <c r="H97" s="20">
        <v>274.36</v>
      </c>
      <c r="I97" s="21">
        <v>274.3</v>
      </c>
      <c r="J97" s="19">
        <v>0.06</v>
      </c>
      <c r="K97" s="19">
        <f t="shared" si="25"/>
        <v>3.7926675094816687E-3</v>
      </c>
      <c r="L97" s="19"/>
      <c r="M97" s="19">
        <v>3.5999999999999997E-2</v>
      </c>
      <c r="N97" s="19">
        <f t="shared" si="18"/>
        <v>1.3653603034134007E-4</v>
      </c>
      <c r="O97" s="19"/>
    </row>
    <row r="98" spans="1:15">
      <c r="A98" s="17">
        <v>25</v>
      </c>
      <c r="B98" s="18" t="s">
        <v>83</v>
      </c>
      <c r="C98" s="18">
        <v>25.26</v>
      </c>
      <c r="D98">
        <v>0.35123966942148765</v>
      </c>
      <c r="E98" s="18">
        <f>C98*(1-D98)</f>
        <v>16.387685950413221</v>
      </c>
      <c r="F98" s="18">
        <v>1</v>
      </c>
      <c r="G98" s="19" t="s">
        <v>13</v>
      </c>
      <c r="H98" s="17">
        <v>269.06</v>
      </c>
      <c r="I98" s="18">
        <v>260.88</v>
      </c>
      <c r="J98" s="19">
        <v>8.18</v>
      </c>
      <c r="K98" s="19">
        <f>J98/16.39</f>
        <v>0.49908480780963999</v>
      </c>
      <c r="L98" s="19">
        <f>SUM(K98:K101)</f>
        <v>1.0103721781574129</v>
      </c>
      <c r="M98">
        <v>2</v>
      </c>
      <c r="N98" s="19">
        <f t="shared" si="18"/>
        <v>0.99816961561927997</v>
      </c>
      <c r="O98" s="19">
        <f>SUM(N98:N101)</f>
        <v>1.4300329469188526</v>
      </c>
    </row>
    <row r="99" spans="1:15">
      <c r="A99" s="17" t="s">
        <v>47</v>
      </c>
      <c r="B99" s="18" t="s">
        <v>47</v>
      </c>
      <c r="C99" s="18" t="s">
        <v>47</v>
      </c>
      <c r="D99" s="18"/>
      <c r="E99" s="18"/>
      <c r="F99" s="18">
        <v>2</v>
      </c>
      <c r="G99" s="19" t="s">
        <v>14</v>
      </c>
      <c r="H99" s="17">
        <v>269.35000000000002</v>
      </c>
      <c r="I99" s="18">
        <v>261.27999999999997</v>
      </c>
      <c r="J99" s="19">
        <v>8.07</v>
      </c>
      <c r="K99" s="19">
        <f t="shared" ref="K99:K101" si="26">J99/16.39</f>
        <v>0.4923733984136669</v>
      </c>
      <c r="L99" s="19"/>
      <c r="M99" s="19">
        <v>0.875</v>
      </c>
      <c r="N99" s="19">
        <f t="shared" si="18"/>
        <v>0.43082672361195851</v>
      </c>
      <c r="O99" s="19"/>
    </row>
    <row r="100" spans="1:15">
      <c r="A100" s="17" t="s">
        <v>47</v>
      </c>
      <c r="B100" s="18" t="s">
        <v>47</v>
      </c>
      <c r="C100" s="18" t="s">
        <v>47</v>
      </c>
      <c r="D100" s="18"/>
      <c r="E100" s="18"/>
      <c r="F100" s="18">
        <v>3</v>
      </c>
      <c r="G100" s="19" t="s">
        <v>15</v>
      </c>
      <c r="H100" s="17">
        <v>274.18</v>
      </c>
      <c r="I100" s="18">
        <v>273.95999999999998</v>
      </c>
      <c r="J100" s="19">
        <v>0.22</v>
      </c>
      <c r="K100" s="19">
        <f t="shared" si="26"/>
        <v>1.3422818791946308E-2</v>
      </c>
      <c r="L100" s="19"/>
      <c r="M100" s="19">
        <v>6.25E-2</v>
      </c>
      <c r="N100" s="19">
        <f t="shared" si="18"/>
        <v>8.3892617449664428E-4</v>
      </c>
      <c r="O100" s="19"/>
    </row>
    <row r="101" spans="1:15">
      <c r="A101" s="20" t="s">
        <v>47</v>
      </c>
      <c r="B101" s="21" t="s">
        <v>47</v>
      </c>
      <c r="C101" s="21" t="s">
        <v>47</v>
      </c>
      <c r="D101" s="21"/>
      <c r="E101" s="21"/>
      <c r="F101" s="21">
        <v>4</v>
      </c>
      <c r="G101" s="22" t="s">
        <v>16</v>
      </c>
      <c r="H101" s="20">
        <v>274.24</v>
      </c>
      <c r="I101" s="21">
        <v>274.14999999999998</v>
      </c>
      <c r="J101" s="19">
        <v>0.09</v>
      </c>
      <c r="K101" s="19">
        <f t="shared" si="26"/>
        <v>5.4911531421598528E-3</v>
      </c>
      <c r="L101" s="19"/>
      <c r="M101" s="19">
        <v>3.5999999999999997E-2</v>
      </c>
      <c r="N101" s="19">
        <f t="shared" si="18"/>
        <v>1.976815131177547E-4</v>
      </c>
      <c r="O101" s="19"/>
    </row>
    <row r="102" spans="1:15">
      <c r="A102" s="17">
        <v>26</v>
      </c>
      <c r="B102" s="18" t="s">
        <v>84</v>
      </c>
      <c r="C102" s="18">
        <v>25.06</v>
      </c>
      <c r="D102">
        <v>0.20676691729323302</v>
      </c>
      <c r="E102" s="18">
        <f>C102*(1-D102)</f>
        <v>19.87842105263158</v>
      </c>
      <c r="F102" s="18">
        <v>5</v>
      </c>
      <c r="G102" s="19" t="s">
        <v>13</v>
      </c>
      <c r="H102" s="17">
        <v>271.02999999999997</v>
      </c>
      <c r="I102" s="18">
        <v>261.45</v>
      </c>
      <c r="J102" s="19">
        <v>9.58</v>
      </c>
      <c r="K102" s="19">
        <f>J102/19.88</f>
        <v>0.48189134808853124</v>
      </c>
      <c r="L102" s="41">
        <f>SUM(K102:K105)</f>
        <v>1.3279678068410465</v>
      </c>
      <c r="M102">
        <v>2</v>
      </c>
      <c r="N102" s="19">
        <f t="shared" si="18"/>
        <v>0.96378269617706247</v>
      </c>
      <c r="O102" s="19">
        <f>SUM(N102:N105)</f>
        <v>1.6808923541247487</v>
      </c>
    </row>
    <row r="103" spans="1:15">
      <c r="A103" s="17" t="s">
        <v>47</v>
      </c>
      <c r="B103" s="18" t="s">
        <v>47</v>
      </c>
      <c r="C103" s="18" t="s">
        <v>47</v>
      </c>
      <c r="D103" s="18"/>
      <c r="E103" s="18"/>
      <c r="F103" s="18">
        <v>6</v>
      </c>
      <c r="G103" s="19" t="s">
        <v>14</v>
      </c>
      <c r="H103" s="17">
        <v>291.63</v>
      </c>
      <c r="I103" s="18">
        <v>275.37</v>
      </c>
      <c r="J103" s="19">
        <v>16.260000000000002</v>
      </c>
      <c r="K103" s="19">
        <f t="shared" ref="K103:K105" si="27">J103/19.88</f>
        <v>0.81790744466800813</v>
      </c>
      <c r="L103" s="19"/>
      <c r="M103" s="19">
        <v>0.875</v>
      </c>
      <c r="N103" s="19">
        <f t="shared" si="18"/>
        <v>0.71566901408450712</v>
      </c>
      <c r="O103" s="19"/>
    </row>
    <row r="104" spans="1:15">
      <c r="A104" s="17" t="s">
        <v>47</v>
      </c>
      <c r="B104" s="18" t="s">
        <v>47</v>
      </c>
      <c r="C104" s="18" t="s">
        <v>47</v>
      </c>
      <c r="D104" s="18"/>
      <c r="E104" s="18"/>
      <c r="F104" s="18">
        <v>7</v>
      </c>
      <c r="G104" s="19" t="s">
        <v>15</v>
      </c>
      <c r="H104" s="17">
        <v>286.17</v>
      </c>
      <c r="I104" s="18">
        <v>285.85000000000002</v>
      </c>
      <c r="J104" s="19">
        <v>0.32</v>
      </c>
      <c r="K104" s="19">
        <f t="shared" si="27"/>
        <v>1.6096579476861168E-2</v>
      </c>
      <c r="L104" s="19"/>
      <c r="M104" s="19">
        <v>6.25E-2</v>
      </c>
      <c r="N104" s="19">
        <f t="shared" si="18"/>
        <v>1.006036217303823E-3</v>
      </c>
      <c r="O104" s="19"/>
    </row>
    <row r="105" spans="1:15">
      <c r="A105" s="20" t="s">
        <v>47</v>
      </c>
      <c r="B105" s="21" t="s">
        <v>47</v>
      </c>
      <c r="C105" s="21" t="s">
        <v>47</v>
      </c>
      <c r="D105" s="21"/>
      <c r="E105" s="21"/>
      <c r="F105" s="21">
        <v>8</v>
      </c>
      <c r="G105" s="22" t="s">
        <v>16</v>
      </c>
      <c r="H105" s="20">
        <v>285.06</v>
      </c>
      <c r="I105" s="21">
        <v>284.82</v>
      </c>
      <c r="J105" s="19">
        <v>0.24</v>
      </c>
      <c r="K105" s="19">
        <f t="shared" si="27"/>
        <v>1.2072434607645876E-2</v>
      </c>
      <c r="L105" s="19"/>
      <c r="M105" s="19">
        <v>3.5999999999999997E-2</v>
      </c>
      <c r="N105" s="19">
        <f t="shared" si="18"/>
        <v>4.346076458752515E-4</v>
      </c>
      <c r="O105" s="19"/>
    </row>
    <row r="106" spans="1:15">
      <c r="A106" s="17">
        <v>27</v>
      </c>
      <c r="B106" s="18" t="s">
        <v>85</v>
      </c>
      <c r="C106" s="18">
        <v>25.04</v>
      </c>
      <c r="D106">
        <v>0.36796536796536772</v>
      </c>
      <c r="E106" s="18">
        <f>C106*(1-D106)</f>
        <v>15.826147186147193</v>
      </c>
      <c r="F106" s="18">
        <v>9</v>
      </c>
      <c r="G106" s="19" t="s">
        <v>13</v>
      </c>
      <c r="H106" s="17">
        <v>284.64999999999998</v>
      </c>
      <c r="I106" s="18">
        <v>275.3</v>
      </c>
      <c r="J106" s="19">
        <v>9.35</v>
      </c>
      <c r="K106" s="19">
        <f>J106/15.83</f>
        <v>0.59065066329753635</v>
      </c>
      <c r="L106" s="19">
        <f>SUM(K106:K109)</f>
        <v>0.99115603284902087</v>
      </c>
      <c r="M106">
        <v>2</v>
      </c>
      <c r="N106" s="19">
        <f t="shared" si="18"/>
        <v>1.1813013265950727</v>
      </c>
      <c r="O106" s="19">
        <f>SUM(N106:N109)</f>
        <v>1.514604864181933</v>
      </c>
    </row>
    <row r="107" spans="1:15">
      <c r="A107" s="17" t="s">
        <v>47</v>
      </c>
      <c r="B107" s="18" t="s">
        <v>47</v>
      </c>
      <c r="C107" s="18" t="s">
        <v>47</v>
      </c>
      <c r="D107" s="18"/>
      <c r="E107" s="18"/>
      <c r="F107" s="18">
        <v>10</v>
      </c>
      <c r="G107" s="19" t="s">
        <v>14</v>
      </c>
      <c r="H107" s="17">
        <v>280.97000000000003</v>
      </c>
      <c r="I107" s="18">
        <v>274.95999999999998</v>
      </c>
      <c r="J107" s="19">
        <v>6.01</v>
      </c>
      <c r="K107" s="19">
        <f t="shared" ref="K107:K109" si="28">J107/15.83</f>
        <v>0.37965887555274791</v>
      </c>
      <c r="L107" s="19"/>
      <c r="M107" s="19">
        <v>0.875</v>
      </c>
      <c r="N107" s="19">
        <f t="shared" si="18"/>
        <v>0.33220151610865445</v>
      </c>
      <c r="O107" s="19"/>
    </row>
    <row r="108" spans="1:15">
      <c r="A108" s="17" t="s">
        <v>47</v>
      </c>
      <c r="B108" s="18" t="s">
        <v>47</v>
      </c>
      <c r="C108" s="18" t="s">
        <v>47</v>
      </c>
      <c r="D108" s="18"/>
      <c r="E108" s="18"/>
      <c r="F108" s="18">
        <v>11</v>
      </c>
      <c r="G108" s="19" t="s">
        <v>15</v>
      </c>
      <c r="H108" s="17">
        <v>261.14</v>
      </c>
      <c r="I108" s="18">
        <v>260.93</v>
      </c>
      <c r="J108" s="19">
        <v>0.21</v>
      </c>
      <c r="K108" s="19">
        <f t="shared" si="28"/>
        <v>1.3265950726468729E-2</v>
      </c>
      <c r="L108" s="19"/>
      <c r="M108" s="19">
        <v>6.25E-2</v>
      </c>
      <c r="N108" s="19">
        <f t="shared" si="18"/>
        <v>8.2912192040429558E-4</v>
      </c>
      <c r="O108" s="19"/>
    </row>
    <row r="109" spans="1:15">
      <c r="A109" s="20" t="s">
        <v>47</v>
      </c>
      <c r="B109" s="21" t="s">
        <v>47</v>
      </c>
      <c r="C109" s="21" t="s">
        <v>47</v>
      </c>
      <c r="D109" s="21"/>
      <c r="E109" s="21"/>
      <c r="F109" s="21">
        <v>12</v>
      </c>
      <c r="G109" s="22" t="s">
        <v>16</v>
      </c>
      <c r="H109" s="20">
        <v>273.48</v>
      </c>
      <c r="I109" s="21">
        <v>273.36</v>
      </c>
      <c r="J109" s="19">
        <v>0.12</v>
      </c>
      <c r="K109" s="19">
        <f t="shared" si="28"/>
        <v>7.5805432722678458E-3</v>
      </c>
      <c r="L109" s="19"/>
      <c r="M109" s="19">
        <v>3.5999999999999997E-2</v>
      </c>
      <c r="N109" s="19">
        <f t="shared" si="18"/>
        <v>2.7289955780164244E-4</v>
      </c>
      <c r="O109" s="19"/>
    </row>
    <row r="110" spans="1:15">
      <c r="A110" s="17">
        <v>28</v>
      </c>
      <c r="B110" s="18" t="s">
        <v>86</v>
      </c>
      <c r="C110" s="18">
        <v>25.13</v>
      </c>
      <c r="D110">
        <v>0.3568464730290456</v>
      </c>
      <c r="E110" s="18">
        <f>C110*(1-D110)</f>
        <v>16.162448132780085</v>
      </c>
      <c r="F110" s="18">
        <v>13</v>
      </c>
      <c r="G110" s="19" t="s">
        <v>13</v>
      </c>
      <c r="H110" s="17">
        <v>290.45</v>
      </c>
      <c r="I110" s="18">
        <v>284.07</v>
      </c>
      <c r="J110" s="19">
        <v>6.38</v>
      </c>
      <c r="K110" s="19">
        <f>J110/16.16</f>
        <v>0.39480198019801982</v>
      </c>
      <c r="L110" s="19">
        <f>SUM(K110:K113)</f>
        <v>0.95792079207920777</v>
      </c>
      <c r="M110">
        <v>2</v>
      </c>
      <c r="N110" s="19">
        <f t="shared" si="18"/>
        <v>0.78960396039603964</v>
      </c>
      <c r="O110" s="19">
        <f>SUM(N110:N113)</f>
        <v>1.2701840965346536</v>
      </c>
    </row>
    <row r="111" spans="1:15">
      <c r="A111" s="17" t="s">
        <v>47</v>
      </c>
      <c r="B111" s="18" t="s">
        <v>47</v>
      </c>
      <c r="C111" s="18" t="s">
        <v>47</v>
      </c>
      <c r="D111" s="18"/>
      <c r="E111" s="18"/>
      <c r="F111" s="18">
        <v>14</v>
      </c>
      <c r="G111" s="19" t="s">
        <v>14</v>
      </c>
      <c r="H111" s="17">
        <v>283.27</v>
      </c>
      <c r="I111" s="18">
        <v>274.41000000000003</v>
      </c>
      <c r="J111" s="19">
        <v>8.86</v>
      </c>
      <c r="K111" s="19">
        <f t="shared" ref="K111:K113" si="29">J111/16.16</f>
        <v>0.5482673267326732</v>
      </c>
      <c r="L111" s="19"/>
      <c r="M111" s="19">
        <v>0.875</v>
      </c>
      <c r="N111" s="19">
        <f t="shared" si="18"/>
        <v>0.47973391089108908</v>
      </c>
      <c r="O111" s="19"/>
    </row>
    <row r="112" spans="1:15">
      <c r="A112" s="23" t="s">
        <v>47</v>
      </c>
      <c r="B112" s="24" t="s">
        <v>47</v>
      </c>
      <c r="C112" s="24" t="s">
        <v>47</v>
      </c>
      <c r="D112" s="24"/>
      <c r="E112" s="24"/>
      <c r="F112" s="24">
        <v>15</v>
      </c>
      <c r="G112" s="19" t="s">
        <v>15</v>
      </c>
      <c r="H112" s="17">
        <v>286.64</v>
      </c>
      <c r="I112" s="24">
        <v>286.45</v>
      </c>
      <c r="J112" s="19">
        <v>0.19</v>
      </c>
      <c r="K112" s="19">
        <f t="shared" si="29"/>
        <v>1.1757425742574257E-2</v>
      </c>
      <c r="L112" s="19"/>
      <c r="M112" s="19">
        <v>6.25E-2</v>
      </c>
      <c r="N112" s="19">
        <f t="shared" si="18"/>
        <v>7.3483910891089109E-4</v>
      </c>
      <c r="O112" s="19"/>
    </row>
    <row r="113" spans="1:15">
      <c r="A113" s="13" t="s">
        <v>47</v>
      </c>
      <c r="B113" s="14" t="s">
        <v>47</v>
      </c>
      <c r="C113" s="14" t="s">
        <v>47</v>
      </c>
      <c r="D113" s="14"/>
      <c r="E113" s="14"/>
      <c r="F113" s="14">
        <v>16</v>
      </c>
      <c r="G113" s="14" t="s">
        <v>16</v>
      </c>
      <c r="H113" s="18">
        <v>275.5</v>
      </c>
      <c r="I113" s="14">
        <v>275.45</v>
      </c>
      <c r="J113" s="19">
        <v>0.05</v>
      </c>
      <c r="K113" s="19">
        <f t="shared" si="29"/>
        <v>3.0940594059405942E-3</v>
      </c>
      <c r="L113" s="19"/>
      <c r="M113" s="19">
        <v>3.5999999999999997E-2</v>
      </c>
      <c r="N113" s="19">
        <f t="shared" si="18"/>
        <v>1.1138613861386138E-4</v>
      </c>
      <c r="O113" s="19"/>
    </row>
    <row r="114" spans="1:15">
      <c r="A114" s="17">
        <v>29</v>
      </c>
      <c r="B114" s="18" t="s">
        <v>87</v>
      </c>
      <c r="C114" s="18">
        <v>25.36</v>
      </c>
      <c r="D114">
        <v>0.27343749999999967</v>
      </c>
      <c r="E114" s="18">
        <f>C114*(1-D114)</f>
        <v>18.425625000000007</v>
      </c>
      <c r="F114" s="18" t="s">
        <v>64</v>
      </c>
      <c r="G114" s="18" t="s">
        <v>13</v>
      </c>
      <c r="H114" s="18">
        <v>285.69</v>
      </c>
      <c r="I114" s="18">
        <v>273.45999999999998</v>
      </c>
      <c r="J114" s="19">
        <v>12.23</v>
      </c>
      <c r="K114" s="19">
        <f>J114/18.43</f>
        <v>0.66359196961475853</v>
      </c>
      <c r="L114" s="19">
        <f>SUM(K114:K117)</f>
        <v>0.83342376559956588</v>
      </c>
      <c r="M114">
        <v>2</v>
      </c>
      <c r="N114" s="19">
        <f t="shared" si="18"/>
        <v>1.3271839392295171</v>
      </c>
      <c r="O114" s="19">
        <f>SUM(N114:N117)</f>
        <v>1.4601554530656538</v>
      </c>
    </row>
    <row r="115" spans="1:15">
      <c r="A115" s="17" t="s">
        <v>47</v>
      </c>
      <c r="B115" s="18" t="s">
        <v>47</v>
      </c>
      <c r="C115" s="18" t="s">
        <v>47</v>
      </c>
      <c r="D115" s="18"/>
      <c r="E115" s="18"/>
      <c r="F115" s="18" t="s">
        <v>65</v>
      </c>
      <c r="G115" s="18" t="s">
        <v>14</v>
      </c>
      <c r="H115" s="18">
        <v>289.16000000000003</v>
      </c>
      <c r="I115" s="18">
        <v>286.38</v>
      </c>
      <c r="J115" s="19">
        <v>2.78</v>
      </c>
      <c r="K115" s="19">
        <f t="shared" ref="K115:K117" si="30">J115/18.43</f>
        <v>0.15084102007596309</v>
      </c>
      <c r="L115" s="19"/>
      <c r="M115" s="19">
        <v>0.875</v>
      </c>
      <c r="N115" s="19">
        <f t="shared" si="18"/>
        <v>0.1319858925664677</v>
      </c>
      <c r="O115" s="19"/>
    </row>
    <row r="116" spans="1:15">
      <c r="A116" s="17" t="s">
        <v>47</v>
      </c>
      <c r="B116" s="18" t="s">
        <v>47</v>
      </c>
      <c r="C116" s="18" t="s">
        <v>47</v>
      </c>
      <c r="D116" s="18"/>
      <c r="E116" s="18"/>
      <c r="F116" s="18" t="s">
        <v>66</v>
      </c>
      <c r="G116" s="18" t="s">
        <v>15</v>
      </c>
      <c r="H116" s="18">
        <v>284.67</v>
      </c>
      <c r="I116" s="18">
        <v>284.45999999999998</v>
      </c>
      <c r="J116" s="19">
        <v>0.21</v>
      </c>
      <c r="K116" s="19">
        <f t="shared" si="30"/>
        <v>1.1394465545306565E-2</v>
      </c>
      <c r="L116" s="19"/>
      <c r="M116" s="19">
        <v>6.25E-2</v>
      </c>
      <c r="N116" s="19">
        <f t="shared" si="18"/>
        <v>7.1215409658166031E-4</v>
      </c>
      <c r="O116" s="19"/>
    </row>
    <row r="117" spans="1:15">
      <c r="A117" s="20" t="s">
        <v>47</v>
      </c>
      <c r="B117" s="21" t="s">
        <v>47</v>
      </c>
      <c r="C117" s="21" t="s">
        <v>47</v>
      </c>
      <c r="D117" s="21"/>
      <c r="E117" s="21"/>
      <c r="F117" s="21" t="s">
        <v>67</v>
      </c>
      <c r="G117" s="22" t="s">
        <v>16</v>
      </c>
      <c r="H117" s="20">
        <v>261.45999999999998</v>
      </c>
      <c r="I117" s="21">
        <v>261.32</v>
      </c>
      <c r="J117" s="19">
        <v>0.14000000000000001</v>
      </c>
      <c r="K117" s="19">
        <f t="shared" si="30"/>
        <v>7.5963103635377114E-3</v>
      </c>
      <c r="L117" s="19"/>
      <c r="M117" s="19">
        <v>3.5999999999999997E-2</v>
      </c>
      <c r="N117" s="19">
        <f t="shared" si="18"/>
        <v>2.734671730873576E-4</v>
      </c>
      <c r="O117" s="19"/>
    </row>
    <row r="118" spans="1:15">
      <c r="A118" s="17">
        <v>30</v>
      </c>
      <c r="B118" s="18" t="s">
        <v>88</v>
      </c>
      <c r="C118" s="18">
        <v>25.04</v>
      </c>
      <c r="D118">
        <v>0.32377049180327849</v>
      </c>
      <c r="E118" s="18">
        <f>C118*(1-D118)</f>
        <v>16.932786885245907</v>
      </c>
      <c r="F118" s="18" t="s">
        <v>69</v>
      </c>
      <c r="G118" s="19" t="s">
        <v>13</v>
      </c>
      <c r="H118" s="17">
        <v>270.33999999999997</v>
      </c>
      <c r="I118" s="18">
        <v>260.68</v>
      </c>
      <c r="J118" s="19">
        <v>9.66</v>
      </c>
      <c r="K118" s="19">
        <f>J118/16.93</f>
        <v>0.57058476077968101</v>
      </c>
      <c r="L118" s="19">
        <f>SUM(K118:K121)</f>
        <v>0.8995865327820437</v>
      </c>
      <c r="M118">
        <v>2</v>
      </c>
      <c r="N118" s="19">
        <f t="shared" si="18"/>
        <v>1.141169521559362</v>
      </c>
      <c r="O118" s="19">
        <f>SUM(N118:N121)</f>
        <v>1.4126036621382161</v>
      </c>
    </row>
    <row r="119" spans="1:15">
      <c r="A119" s="17" t="s">
        <v>47</v>
      </c>
      <c r="B119" s="18" t="s">
        <v>47</v>
      </c>
      <c r="C119" s="18" t="s">
        <v>47</v>
      </c>
      <c r="D119" s="18"/>
      <c r="E119" s="18"/>
      <c r="F119" s="18" t="s">
        <v>70</v>
      </c>
      <c r="G119" s="19" t="s">
        <v>14</v>
      </c>
      <c r="H119" s="17">
        <v>289.82</v>
      </c>
      <c r="I119" s="18">
        <v>284.58999999999997</v>
      </c>
      <c r="J119" s="19">
        <v>5.23</v>
      </c>
      <c r="K119" s="19">
        <f t="shared" ref="K119:K121" si="31">J119/16.93</f>
        <v>0.30891907855877143</v>
      </c>
      <c r="L119" s="19"/>
      <c r="M119" s="19">
        <v>0.875</v>
      </c>
      <c r="N119" s="19">
        <f t="shared" si="18"/>
        <v>0.270304193738925</v>
      </c>
      <c r="O119" s="19"/>
    </row>
    <row r="120" spans="1:15">
      <c r="A120" s="17" t="s">
        <v>47</v>
      </c>
      <c r="B120" s="18" t="s">
        <v>47</v>
      </c>
      <c r="C120" s="18" t="s">
        <v>47</v>
      </c>
      <c r="D120" s="18"/>
      <c r="E120" s="18"/>
      <c r="F120" s="18" t="s">
        <v>71</v>
      </c>
      <c r="G120" s="19" t="s">
        <v>15</v>
      </c>
      <c r="H120" s="17">
        <v>284.89</v>
      </c>
      <c r="I120" s="18">
        <v>284.63</v>
      </c>
      <c r="J120" s="19">
        <v>0.26</v>
      </c>
      <c r="K120" s="19">
        <f t="shared" si="31"/>
        <v>1.5357353809805081E-2</v>
      </c>
      <c r="L120" s="19"/>
      <c r="M120" s="19">
        <v>6.25E-2</v>
      </c>
      <c r="N120" s="19">
        <f t="shared" si="18"/>
        <v>9.5983461311281758E-4</v>
      </c>
      <c r="O120" s="19"/>
    </row>
    <row r="121" spans="1:15">
      <c r="A121" s="20" t="s">
        <v>47</v>
      </c>
      <c r="B121" s="21" t="s">
        <v>47</v>
      </c>
      <c r="C121" s="21" t="s">
        <v>47</v>
      </c>
      <c r="D121" s="21"/>
      <c r="E121" s="21"/>
      <c r="F121" s="21" t="s">
        <v>72</v>
      </c>
      <c r="G121" s="22" t="s">
        <v>16</v>
      </c>
      <c r="H121" s="20">
        <v>275.19</v>
      </c>
      <c r="I121" s="21">
        <v>275.11</v>
      </c>
      <c r="J121" s="19">
        <v>0.08</v>
      </c>
      <c r="K121" s="19">
        <f t="shared" si="31"/>
        <v>4.7253396337861783E-3</v>
      </c>
      <c r="L121" s="19"/>
      <c r="M121" s="19">
        <v>3.5999999999999997E-2</v>
      </c>
      <c r="N121" s="19">
        <f t="shared" si="18"/>
        <v>1.7011222681630241E-4</v>
      </c>
      <c r="O121" s="19"/>
    </row>
    <row r="122" spans="1:15">
      <c r="A122" s="17">
        <v>31</v>
      </c>
      <c r="B122" s="18" t="s">
        <v>89</v>
      </c>
      <c r="C122" s="18">
        <v>25.11</v>
      </c>
      <c r="D122">
        <v>0.34008097165991918</v>
      </c>
      <c r="E122" s="18">
        <f>C122*(1-D122)</f>
        <v>16.570566801619432</v>
      </c>
      <c r="F122" s="18" t="s">
        <v>74</v>
      </c>
      <c r="G122" s="19" t="s">
        <v>13</v>
      </c>
      <c r="H122" s="17">
        <v>272.72000000000003</v>
      </c>
      <c r="I122" s="18">
        <v>261.22000000000003</v>
      </c>
      <c r="J122" s="19">
        <v>11.5</v>
      </c>
      <c r="K122" s="19">
        <f>J122/16.57</f>
        <v>0.69402534701267349</v>
      </c>
      <c r="L122" s="19">
        <f>SUM(K122:K125)</f>
        <v>0.99637899818949915</v>
      </c>
      <c r="M122">
        <v>2</v>
      </c>
      <c r="N122" s="19">
        <f t="shared" si="18"/>
        <v>1.388050694025347</v>
      </c>
      <c r="O122" s="19">
        <f>SUM(N122:N125)</f>
        <v>1.6451910078455039</v>
      </c>
    </row>
    <row r="123" spans="1:15">
      <c r="A123" s="17" t="s">
        <v>47</v>
      </c>
      <c r="B123" s="18" t="s">
        <v>47</v>
      </c>
      <c r="C123" s="18" t="s">
        <v>47</v>
      </c>
      <c r="D123" s="18"/>
      <c r="E123" s="18"/>
      <c r="F123" s="18" t="s">
        <v>75</v>
      </c>
      <c r="G123" s="19" t="s">
        <v>14</v>
      </c>
      <c r="H123" s="17">
        <v>265.89999999999998</v>
      </c>
      <c r="I123" s="18">
        <v>261.04000000000002</v>
      </c>
      <c r="J123" s="19">
        <v>4.8600000000000003</v>
      </c>
      <c r="K123" s="19">
        <f t="shared" ref="K123:K125" si="32">J123/16.57</f>
        <v>0.29330114665057333</v>
      </c>
      <c r="L123" s="19"/>
      <c r="M123" s="19">
        <v>0.875</v>
      </c>
      <c r="N123" s="19">
        <f t="shared" si="18"/>
        <v>0.25663850331925164</v>
      </c>
      <c r="O123" s="19"/>
    </row>
    <row r="124" spans="1:15">
      <c r="A124" s="17" t="s">
        <v>47</v>
      </c>
      <c r="B124" s="18" t="s">
        <v>47</v>
      </c>
      <c r="C124" s="18" t="s">
        <v>47</v>
      </c>
      <c r="D124" s="18"/>
      <c r="E124" s="18"/>
      <c r="F124" s="18" t="s">
        <v>76</v>
      </c>
      <c r="G124" s="19" t="s">
        <v>15</v>
      </c>
      <c r="H124" s="17">
        <v>284.73</v>
      </c>
      <c r="I124" s="18">
        <v>284.62</v>
      </c>
      <c r="J124" s="19">
        <v>0.11</v>
      </c>
      <c r="K124" s="19">
        <f t="shared" si="32"/>
        <v>6.6385033192516594E-3</v>
      </c>
      <c r="L124" s="19"/>
      <c r="M124" s="19">
        <v>6.25E-2</v>
      </c>
      <c r="N124" s="19">
        <f t="shared" si="18"/>
        <v>4.1490645745322871E-4</v>
      </c>
      <c r="O124" s="19"/>
    </row>
    <row r="125" spans="1:15">
      <c r="A125" s="20" t="s">
        <v>47</v>
      </c>
      <c r="B125" s="21" t="s">
        <v>47</v>
      </c>
      <c r="C125" s="21" t="s">
        <v>47</v>
      </c>
      <c r="D125" s="21"/>
      <c r="E125" s="21"/>
      <c r="F125" s="21" t="s">
        <v>77</v>
      </c>
      <c r="G125" s="22" t="s">
        <v>16</v>
      </c>
      <c r="H125" s="20">
        <v>274.36</v>
      </c>
      <c r="I125" s="21">
        <v>274.32</v>
      </c>
      <c r="J125" s="19">
        <v>0.04</v>
      </c>
      <c r="K125" s="19">
        <f t="shared" si="32"/>
        <v>2.4140012070006035E-3</v>
      </c>
      <c r="L125" s="19"/>
      <c r="M125" s="19">
        <v>3.5999999999999997E-2</v>
      </c>
      <c r="N125" s="19">
        <f t="shared" si="18"/>
        <v>8.6904043452021718E-5</v>
      </c>
      <c r="O125" s="19"/>
    </row>
    <row r="126" spans="1:15">
      <c r="A126" s="17">
        <v>32</v>
      </c>
      <c r="B126" s="18" t="s">
        <v>90</v>
      </c>
      <c r="C126" s="18">
        <v>25.07</v>
      </c>
      <c r="D126">
        <v>0.22101449275362331</v>
      </c>
      <c r="E126" s="18">
        <f>C126*(1-D126)</f>
        <v>19.529166666666665</v>
      </c>
      <c r="F126" s="18" t="s">
        <v>79</v>
      </c>
      <c r="G126" s="19" t="s">
        <v>13</v>
      </c>
      <c r="H126" s="17">
        <v>290.33999999999997</v>
      </c>
      <c r="I126" s="18">
        <v>287.55</v>
      </c>
      <c r="J126" s="19">
        <v>2.79</v>
      </c>
      <c r="K126" s="19">
        <f>J126/19.53</f>
        <v>0.14285714285714285</v>
      </c>
      <c r="L126" s="19">
        <f>SUM(K126:K129)</f>
        <v>0.43317972350230416</v>
      </c>
      <c r="M126">
        <v>2</v>
      </c>
      <c r="N126" s="19">
        <f t="shared" si="18"/>
        <v>0.2857142857142857</v>
      </c>
      <c r="O126" s="19">
        <f>SUM(N126:N129)</f>
        <v>0.49667409114183309</v>
      </c>
    </row>
    <row r="127" spans="1:15">
      <c r="A127" s="17" t="s">
        <v>47</v>
      </c>
      <c r="B127" s="18" t="s">
        <v>47</v>
      </c>
      <c r="C127" s="18" t="s">
        <v>47</v>
      </c>
      <c r="D127" s="18"/>
      <c r="E127" s="18"/>
      <c r="F127" s="18" t="s">
        <v>80</v>
      </c>
      <c r="G127" s="19" t="s">
        <v>14</v>
      </c>
      <c r="H127" s="17">
        <v>290.08</v>
      </c>
      <c r="I127" s="18">
        <v>285.43</v>
      </c>
      <c r="J127" s="19">
        <v>4.6500000000000004</v>
      </c>
      <c r="K127" s="19">
        <f t="shared" ref="K127:K129" si="33">J127/19.53</f>
        <v>0.23809523809523811</v>
      </c>
      <c r="L127" s="19"/>
      <c r="M127" s="19">
        <v>0.875</v>
      </c>
      <c r="N127" s="19">
        <f t="shared" si="18"/>
        <v>0.20833333333333334</v>
      </c>
      <c r="O127" s="19"/>
    </row>
    <row r="128" spans="1:15">
      <c r="A128" s="17" t="s">
        <v>47</v>
      </c>
      <c r="B128" s="18" t="s">
        <v>47</v>
      </c>
      <c r="C128" s="18" t="s">
        <v>47</v>
      </c>
      <c r="D128" s="18"/>
      <c r="E128" s="18"/>
      <c r="F128" s="18" t="s">
        <v>81</v>
      </c>
      <c r="G128" s="19" t="s">
        <v>15</v>
      </c>
      <c r="H128" s="17">
        <v>275.73</v>
      </c>
      <c r="I128" s="18">
        <v>275.18</v>
      </c>
      <c r="J128" s="19">
        <v>0.55000000000000004</v>
      </c>
      <c r="K128" s="19">
        <f t="shared" si="33"/>
        <v>2.8161802355350742E-2</v>
      </c>
      <c r="L128" s="19"/>
      <c r="M128" s="19">
        <v>6.25E-2</v>
      </c>
      <c r="N128" s="19">
        <f t="shared" si="18"/>
        <v>1.7601126472094213E-3</v>
      </c>
      <c r="O128" s="19"/>
    </row>
    <row r="129" spans="1:15">
      <c r="A129" s="20" t="s">
        <v>47</v>
      </c>
      <c r="B129" s="21" t="s">
        <v>47</v>
      </c>
      <c r="C129" s="21" t="s">
        <v>47</v>
      </c>
      <c r="D129" s="21"/>
      <c r="E129" s="21"/>
      <c r="F129" s="21" t="s">
        <v>82</v>
      </c>
      <c r="G129" s="22" t="s">
        <v>16</v>
      </c>
      <c r="H129" s="20">
        <v>275.89999999999998</v>
      </c>
      <c r="I129" s="21">
        <v>275.43</v>
      </c>
      <c r="J129" s="19">
        <v>0.47</v>
      </c>
      <c r="K129" s="19">
        <f t="shared" si="33"/>
        <v>2.4065540194572448E-2</v>
      </c>
      <c r="L129" s="19"/>
      <c r="M129" s="19">
        <v>3.5999999999999997E-2</v>
      </c>
      <c r="N129" s="19">
        <f t="shared" si="18"/>
        <v>8.6635944700460806E-4</v>
      </c>
      <c r="O129" s="19"/>
    </row>
    <row r="130" spans="1:15">
      <c r="A130" s="17">
        <v>33</v>
      </c>
      <c r="B130" s="25" t="s">
        <v>91</v>
      </c>
      <c r="C130" s="18">
        <v>25.36</v>
      </c>
      <c r="D130">
        <v>0.32314410480349337</v>
      </c>
      <c r="E130" s="18">
        <f>C130*(1-D130)</f>
        <v>17.16506550218341</v>
      </c>
      <c r="F130" s="18">
        <v>1</v>
      </c>
      <c r="G130" s="18" t="s">
        <v>13</v>
      </c>
      <c r="H130" s="18">
        <v>268.89999999999998</v>
      </c>
      <c r="I130" s="18">
        <v>260.88</v>
      </c>
      <c r="J130" s="19">
        <v>8.02</v>
      </c>
      <c r="K130" s="19">
        <f>J130/17.17</f>
        <v>0.46709376820034937</v>
      </c>
      <c r="L130" s="19">
        <f>SUM(K130:K133)</f>
        <v>0.97786837507280133</v>
      </c>
      <c r="M130">
        <v>2</v>
      </c>
      <c r="N130" s="19">
        <f t="shared" si="18"/>
        <v>0.93418753640069874</v>
      </c>
      <c r="O130" s="19">
        <f>SUM(N130:N133)</f>
        <v>1.3153750728013975</v>
      </c>
    </row>
    <row r="131" spans="1:15">
      <c r="A131" s="17" t="s">
        <v>47</v>
      </c>
      <c r="B131" s="18" t="s">
        <v>47</v>
      </c>
      <c r="C131" s="18" t="s">
        <v>47</v>
      </c>
      <c r="D131" s="18"/>
      <c r="E131" s="18"/>
      <c r="F131" s="18">
        <v>2</v>
      </c>
      <c r="G131" s="18" t="s">
        <v>14</v>
      </c>
      <c r="H131" s="18">
        <v>268.5</v>
      </c>
      <c r="I131" s="18">
        <v>261.10000000000002</v>
      </c>
      <c r="J131" s="19">
        <v>7.4</v>
      </c>
      <c r="K131" s="19">
        <f t="shared" ref="K131:K133" si="34">J131/17.17</f>
        <v>0.430984274898078</v>
      </c>
      <c r="L131" s="19"/>
      <c r="M131" s="19">
        <v>0.875</v>
      </c>
      <c r="N131" s="19">
        <f t="shared" ref="N131:N149" si="35">K131*M131</f>
        <v>0.37711124053581824</v>
      </c>
      <c r="O131" s="19"/>
    </row>
    <row r="132" spans="1:15">
      <c r="A132" s="17" t="s">
        <v>47</v>
      </c>
      <c r="B132" s="18" t="s">
        <v>47</v>
      </c>
      <c r="C132" s="18" t="s">
        <v>47</v>
      </c>
      <c r="D132" s="18"/>
      <c r="E132" s="18"/>
      <c r="F132" s="18">
        <v>3</v>
      </c>
      <c r="G132" s="18" t="s">
        <v>15</v>
      </c>
      <c r="H132" s="18">
        <v>274.3</v>
      </c>
      <c r="I132" s="18">
        <v>273.52</v>
      </c>
      <c r="J132" s="19">
        <v>0.78</v>
      </c>
      <c r="K132" s="19">
        <f t="shared" si="34"/>
        <v>4.54280722189866E-2</v>
      </c>
      <c r="L132" s="19"/>
      <c r="M132" s="19">
        <v>6.25E-2</v>
      </c>
      <c r="N132" s="19">
        <f t="shared" si="35"/>
        <v>2.8392545136866625E-3</v>
      </c>
      <c r="O132" s="19"/>
    </row>
    <row r="133" spans="1:15">
      <c r="A133" s="20" t="s">
        <v>47</v>
      </c>
      <c r="B133" s="21" t="s">
        <v>47</v>
      </c>
      <c r="C133" s="21" t="s">
        <v>47</v>
      </c>
      <c r="D133" s="21"/>
      <c r="E133" s="21"/>
      <c r="F133" s="21">
        <v>4</v>
      </c>
      <c r="G133" s="22" t="s">
        <v>16</v>
      </c>
      <c r="H133" s="20">
        <v>274.44</v>
      </c>
      <c r="I133" s="21">
        <v>273.85000000000002</v>
      </c>
      <c r="J133" s="19">
        <v>0.59</v>
      </c>
      <c r="K133" s="19">
        <f t="shared" si="34"/>
        <v>3.43622597553873E-2</v>
      </c>
      <c r="L133" s="19"/>
      <c r="M133" s="19">
        <v>3.5999999999999997E-2</v>
      </c>
      <c r="N133" s="19">
        <f t="shared" si="35"/>
        <v>1.2370413511939428E-3</v>
      </c>
      <c r="O133" s="19"/>
    </row>
    <row r="134" spans="1:15">
      <c r="A134" s="17">
        <v>34</v>
      </c>
      <c r="B134" s="25" t="s">
        <v>92</v>
      </c>
      <c r="C134" s="18">
        <v>25.04</v>
      </c>
      <c r="D134">
        <v>0.32888888888888901</v>
      </c>
      <c r="E134" s="18">
        <f>C134*(1-D134)</f>
        <v>16.804622222222218</v>
      </c>
      <c r="F134" s="18">
        <v>5</v>
      </c>
      <c r="G134" s="19" t="s">
        <v>13</v>
      </c>
      <c r="H134" s="20">
        <v>271.64999999999998</v>
      </c>
      <c r="I134" s="18">
        <v>261.52</v>
      </c>
      <c r="J134" s="19">
        <v>10.130000000000001</v>
      </c>
      <c r="K134" s="19">
        <f>J134/16.8</f>
        <v>0.60297619047619044</v>
      </c>
      <c r="L134" s="19">
        <f>SUM(K134:K137)</f>
        <v>1.0267857142857142</v>
      </c>
      <c r="M134">
        <v>2</v>
      </c>
      <c r="N134" s="19">
        <f t="shared" si="35"/>
        <v>1.2059523809523809</v>
      </c>
      <c r="O134" s="19">
        <f>SUM(N134:N137)</f>
        <v>1.5395880952380951</v>
      </c>
    </row>
    <row r="135" spans="1:15">
      <c r="A135" s="17" t="s">
        <v>47</v>
      </c>
      <c r="B135" s="18" t="s">
        <v>47</v>
      </c>
      <c r="C135" s="18" t="s">
        <v>47</v>
      </c>
      <c r="D135" s="18"/>
      <c r="E135" s="18"/>
      <c r="F135" s="18">
        <v>6</v>
      </c>
      <c r="G135" s="19" t="s">
        <v>14</v>
      </c>
      <c r="H135" s="26">
        <v>281.56</v>
      </c>
      <c r="I135" s="18">
        <v>275.2</v>
      </c>
      <c r="J135" s="19">
        <v>6.36</v>
      </c>
      <c r="K135" s="19">
        <f t="shared" ref="K135:K137" si="36">J135/16.8</f>
        <v>0.37857142857142856</v>
      </c>
      <c r="L135" s="19"/>
      <c r="M135" s="19">
        <v>0.875</v>
      </c>
      <c r="N135" s="19">
        <f t="shared" si="35"/>
        <v>0.33124999999999999</v>
      </c>
      <c r="O135" s="19"/>
    </row>
    <row r="136" spans="1:15">
      <c r="A136" s="17" t="s">
        <v>47</v>
      </c>
      <c r="B136" s="18" t="s">
        <v>47</v>
      </c>
      <c r="C136" s="18" t="s">
        <v>47</v>
      </c>
      <c r="D136" s="18"/>
      <c r="E136" s="18"/>
      <c r="F136" s="18">
        <v>7</v>
      </c>
      <c r="G136" s="19" t="s">
        <v>15</v>
      </c>
      <c r="H136" s="17">
        <v>286.27</v>
      </c>
      <c r="I136" s="18">
        <v>285.79000000000002</v>
      </c>
      <c r="J136" s="19">
        <v>0.48</v>
      </c>
      <c r="K136" s="19">
        <f t="shared" si="36"/>
        <v>2.8571428571428571E-2</v>
      </c>
      <c r="L136" s="19"/>
      <c r="M136" s="19">
        <v>6.25E-2</v>
      </c>
      <c r="N136" s="19">
        <f t="shared" si="35"/>
        <v>1.7857142857142857E-3</v>
      </c>
      <c r="O136" s="19"/>
    </row>
    <row r="137" spans="1:15">
      <c r="A137" s="20" t="s">
        <v>47</v>
      </c>
      <c r="B137" s="21" t="s">
        <v>47</v>
      </c>
      <c r="C137" s="21" t="s">
        <v>47</v>
      </c>
      <c r="D137" s="21"/>
      <c r="E137" s="21"/>
      <c r="F137" s="21">
        <v>8</v>
      </c>
      <c r="G137" s="22" t="s">
        <v>16</v>
      </c>
      <c r="H137" s="20">
        <v>284.92</v>
      </c>
      <c r="I137" s="21">
        <v>284.64</v>
      </c>
      <c r="J137" s="19">
        <v>0.28000000000000003</v>
      </c>
      <c r="K137" s="19">
        <f t="shared" si="36"/>
        <v>1.6666666666666666E-2</v>
      </c>
      <c r="L137" s="19"/>
      <c r="M137" s="19">
        <v>3.5999999999999997E-2</v>
      </c>
      <c r="N137" s="19">
        <f t="shared" si="35"/>
        <v>5.9999999999999995E-4</v>
      </c>
      <c r="O137" s="19"/>
    </row>
    <row r="138" spans="1:15">
      <c r="A138" s="17">
        <v>35</v>
      </c>
      <c r="B138" s="25" t="s">
        <v>93</v>
      </c>
      <c r="C138" s="18">
        <v>25.11</v>
      </c>
      <c r="D138">
        <v>0.33777777777777768</v>
      </c>
      <c r="E138" s="18">
        <f>C138*(1-D138)</f>
        <v>16.628399999999999</v>
      </c>
      <c r="F138" s="18">
        <v>9</v>
      </c>
      <c r="G138" s="19" t="s">
        <v>13</v>
      </c>
      <c r="H138" s="17">
        <v>285.83</v>
      </c>
      <c r="I138" s="18">
        <v>275.18</v>
      </c>
      <c r="J138" s="19">
        <v>10.65</v>
      </c>
      <c r="K138" s="19">
        <f>J138/16.63</f>
        <v>0.64040889957907399</v>
      </c>
      <c r="L138" s="19">
        <f>SUM(K138:K141)</f>
        <v>1.0342754058929646</v>
      </c>
      <c r="M138">
        <v>2</v>
      </c>
      <c r="N138" s="19">
        <f t="shared" si="35"/>
        <v>1.280817799158148</v>
      </c>
      <c r="O138" s="19">
        <f>SUM(N138:N141)</f>
        <v>1.5915640408899581</v>
      </c>
    </row>
    <row r="139" spans="1:15">
      <c r="A139" s="17" t="s">
        <v>47</v>
      </c>
      <c r="B139" s="18" t="s">
        <v>47</v>
      </c>
      <c r="C139" s="18" t="s">
        <v>47</v>
      </c>
      <c r="D139" s="18"/>
      <c r="E139" s="18"/>
      <c r="F139" s="18">
        <v>10</v>
      </c>
      <c r="G139" s="19" t="s">
        <v>14</v>
      </c>
      <c r="H139" s="17">
        <v>280.52999999999997</v>
      </c>
      <c r="I139" s="18">
        <v>274.67</v>
      </c>
      <c r="J139" s="19">
        <v>5.86</v>
      </c>
      <c r="K139" s="19">
        <f t="shared" ref="K139:K141" si="37">J139/16.63</f>
        <v>0.35237522549609146</v>
      </c>
      <c r="L139" s="19"/>
      <c r="M139" s="19">
        <v>0.875</v>
      </c>
      <c r="N139" s="19">
        <f t="shared" si="35"/>
        <v>0.30832832230908003</v>
      </c>
      <c r="O139" s="19"/>
    </row>
    <row r="140" spans="1:15">
      <c r="A140" s="17" t="s">
        <v>47</v>
      </c>
      <c r="B140" s="18" t="s">
        <v>47</v>
      </c>
      <c r="C140" s="18" t="s">
        <v>47</v>
      </c>
      <c r="D140" s="18"/>
      <c r="E140" s="18"/>
      <c r="F140" s="18">
        <v>11</v>
      </c>
      <c r="G140" s="19" t="s">
        <v>15</v>
      </c>
      <c r="H140" s="17">
        <v>261.13</v>
      </c>
      <c r="I140" s="18">
        <v>260.55</v>
      </c>
      <c r="J140" s="19">
        <v>0.57999999999999996</v>
      </c>
      <c r="K140" s="19">
        <f t="shared" si="37"/>
        <v>3.487672880336741E-2</v>
      </c>
      <c r="L140" s="19"/>
      <c r="M140" s="19">
        <v>6.25E-2</v>
      </c>
      <c r="N140" s="19">
        <f t="shared" si="35"/>
        <v>2.1797955502104631E-3</v>
      </c>
      <c r="O140" s="19"/>
    </row>
    <row r="141" spans="1:15">
      <c r="A141" s="20" t="s">
        <v>47</v>
      </c>
      <c r="B141" s="21" t="s">
        <v>47</v>
      </c>
      <c r="C141" s="21" t="s">
        <v>47</v>
      </c>
      <c r="D141" s="21"/>
      <c r="E141" s="21"/>
      <c r="F141" s="21">
        <v>12</v>
      </c>
      <c r="G141" s="22" t="s">
        <v>16</v>
      </c>
      <c r="H141" s="20">
        <v>273.37</v>
      </c>
      <c r="I141" s="21">
        <v>273.26</v>
      </c>
      <c r="J141" s="19">
        <v>0.11</v>
      </c>
      <c r="K141" s="19">
        <f t="shared" si="37"/>
        <v>6.6145520144317502E-3</v>
      </c>
      <c r="L141" s="19"/>
      <c r="M141" s="19">
        <v>3.5999999999999997E-2</v>
      </c>
      <c r="N141" s="19">
        <f t="shared" si="35"/>
        <v>2.38123872519543E-4</v>
      </c>
      <c r="O141" s="19"/>
    </row>
    <row r="142" spans="1:15">
      <c r="A142" s="17">
        <v>36</v>
      </c>
      <c r="B142" s="25" t="s">
        <v>94</v>
      </c>
      <c r="C142" s="18">
        <v>25.07</v>
      </c>
      <c r="D142">
        <v>0.42396313364055299</v>
      </c>
      <c r="E142" s="18">
        <f>C142*(1-D142)</f>
        <v>14.441244239631338</v>
      </c>
      <c r="F142" s="18">
        <v>13</v>
      </c>
      <c r="G142" s="19" t="s">
        <v>13</v>
      </c>
      <c r="H142" s="26">
        <v>295.26</v>
      </c>
      <c r="I142" s="18">
        <v>284.22000000000003</v>
      </c>
      <c r="J142" s="19">
        <v>11.04</v>
      </c>
      <c r="K142" s="19">
        <f>J142/14.44</f>
        <v>0.76454293628808856</v>
      </c>
      <c r="L142" s="41">
        <f>SUM(K142:K145)</f>
        <v>1.1301939058171744</v>
      </c>
      <c r="M142">
        <v>2</v>
      </c>
      <c r="N142" s="19">
        <f t="shared" si="35"/>
        <v>1.5290858725761771</v>
      </c>
      <c r="O142" s="19">
        <f>SUM(N142:N145)</f>
        <v>1.8264501385041549</v>
      </c>
    </row>
    <row r="143" spans="1:15">
      <c r="A143" s="17" t="s">
        <v>47</v>
      </c>
      <c r="B143" s="18" t="s">
        <v>47</v>
      </c>
      <c r="C143" s="18" t="s">
        <v>47</v>
      </c>
      <c r="D143" s="18"/>
      <c r="E143" s="18"/>
      <c r="F143" s="18">
        <v>14</v>
      </c>
      <c r="G143" s="19" t="s">
        <v>14</v>
      </c>
      <c r="H143" s="17">
        <v>278.63</v>
      </c>
      <c r="I143" s="18">
        <v>273.75</v>
      </c>
      <c r="J143" s="19">
        <v>4.88</v>
      </c>
      <c r="K143" s="19">
        <f t="shared" ref="K143:K145" si="38">J143/14.44</f>
        <v>0.33795013850415512</v>
      </c>
      <c r="M143" s="19">
        <v>0.875</v>
      </c>
      <c r="N143" s="19">
        <f t="shared" si="35"/>
        <v>0.29570637119113574</v>
      </c>
      <c r="O143" s="19"/>
    </row>
    <row r="144" spans="1:15">
      <c r="A144" s="17" t="s">
        <v>47</v>
      </c>
      <c r="B144" s="18" t="s">
        <v>47</v>
      </c>
      <c r="C144" s="18" t="s">
        <v>47</v>
      </c>
      <c r="D144" s="18"/>
      <c r="E144" s="18"/>
      <c r="F144" s="18">
        <v>15</v>
      </c>
      <c r="G144" s="19" t="s">
        <v>15</v>
      </c>
      <c r="H144" s="17">
        <v>286.22000000000003</v>
      </c>
      <c r="I144" s="18">
        <v>285.86</v>
      </c>
      <c r="J144" s="19">
        <v>0.36</v>
      </c>
      <c r="K144" s="19">
        <f t="shared" si="38"/>
        <v>2.4930747922437674E-2</v>
      </c>
      <c r="M144" s="19">
        <v>6.25E-2</v>
      </c>
      <c r="N144" s="19">
        <f t="shared" si="35"/>
        <v>1.5581717451523547E-3</v>
      </c>
      <c r="O144" s="19"/>
    </row>
    <row r="145" spans="1:16">
      <c r="A145" s="20" t="s">
        <v>47</v>
      </c>
      <c r="B145" s="21" t="s">
        <v>47</v>
      </c>
      <c r="C145" s="21" t="s">
        <v>47</v>
      </c>
      <c r="D145" s="21"/>
      <c r="E145" s="21"/>
      <c r="F145" s="21">
        <v>16</v>
      </c>
      <c r="G145" s="22" t="s">
        <v>16</v>
      </c>
      <c r="H145" s="20">
        <v>275.23</v>
      </c>
      <c r="I145" s="21">
        <v>275.19</v>
      </c>
      <c r="J145" s="19">
        <v>0.04</v>
      </c>
      <c r="K145" s="19">
        <f t="shared" si="38"/>
        <v>2.7700831024930748E-3</v>
      </c>
      <c r="M145" s="19">
        <v>3.5999999999999997E-2</v>
      </c>
      <c r="N145" s="19">
        <f t="shared" si="35"/>
        <v>9.9722991689750682E-5</v>
      </c>
      <c r="O145" s="19"/>
    </row>
    <row r="146" spans="1:16">
      <c r="A146" t="s">
        <v>95</v>
      </c>
      <c r="B146" s="3" t="s">
        <v>27</v>
      </c>
      <c r="C146" s="4">
        <v>25.01</v>
      </c>
      <c r="D146">
        <v>0.29919273461150342</v>
      </c>
      <c r="E146" s="4">
        <f>C146*(1-D146)</f>
        <v>17.527189707366301</v>
      </c>
      <c r="F146" s="4">
        <v>13</v>
      </c>
      <c r="G146" s="4" t="s">
        <v>13</v>
      </c>
      <c r="H146" s="4">
        <v>288.89</v>
      </c>
      <c r="I146" s="4">
        <v>284.07</v>
      </c>
      <c r="J146" s="1">
        <f t="shared" ref="J146:J149" si="39">H146-I146</f>
        <v>4.8199999999999932</v>
      </c>
      <c r="K146">
        <f>J146/17.53</f>
        <v>0.27495721620079822</v>
      </c>
      <c r="L146">
        <f>SUM(K146:K149)</f>
        <v>0.91557330290929895</v>
      </c>
      <c r="M146">
        <v>2</v>
      </c>
      <c r="N146" s="19">
        <f t="shared" si="35"/>
        <v>0.54991443240159643</v>
      </c>
      <c r="O146" s="19">
        <f>SUM(N146:N149)</f>
        <v>1.0629506560182553</v>
      </c>
      <c r="P146" s="19"/>
    </row>
    <row r="147" spans="1:16">
      <c r="B147" s="5"/>
      <c r="C147" s="1"/>
      <c r="D147" s="1"/>
      <c r="E147" s="1"/>
      <c r="F147" s="1">
        <v>14</v>
      </c>
      <c r="G147" s="1" t="s">
        <v>14</v>
      </c>
      <c r="H147" s="1">
        <v>284.42</v>
      </c>
      <c r="I147" s="1">
        <v>274.20999999999998</v>
      </c>
      <c r="J147" s="1">
        <f t="shared" si="39"/>
        <v>10.210000000000036</v>
      </c>
      <c r="K147">
        <f t="shared" ref="K147:K149" si="40">J147/17.53</f>
        <v>0.58243011979463977</v>
      </c>
      <c r="M147" s="19">
        <v>0.875</v>
      </c>
      <c r="N147" s="19">
        <f t="shared" si="35"/>
        <v>0.50962635482030982</v>
      </c>
      <c r="P147" s="19"/>
    </row>
    <row r="148" spans="1:16">
      <c r="B148" s="5"/>
      <c r="C148" s="1"/>
      <c r="D148" s="1"/>
      <c r="E148" s="1"/>
      <c r="F148" s="1">
        <v>15</v>
      </c>
      <c r="G148" s="1" t="s">
        <v>15</v>
      </c>
      <c r="H148" s="1">
        <v>287.7</v>
      </c>
      <c r="I148" s="1">
        <v>286.83</v>
      </c>
      <c r="J148" s="1">
        <f t="shared" si="39"/>
        <v>0.87000000000000455</v>
      </c>
      <c r="K148">
        <f t="shared" si="40"/>
        <v>4.9629207073588394E-2</v>
      </c>
      <c r="M148" s="19">
        <v>6.25E-2</v>
      </c>
      <c r="N148" s="19">
        <f t="shared" si="35"/>
        <v>3.1018254420992746E-3</v>
      </c>
      <c r="P148" s="19"/>
    </row>
    <row r="149" spans="1:16">
      <c r="B149" s="6"/>
      <c r="C149" s="7"/>
      <c r="D149" s="7"/>
      <c r="E149" s="7"/>
      <c r="F149" s="7">
        <v>16</v>
      </c>
      <c r="G149" s="7" t="s">
        <v>16</v>
      </c>
      <c r="H149" s="7">
        <v>275.52</v>
      </c>
      <c r="I149" s="7">
        <v>275.37</v>
      </c>
      <c r="J149" s="1">
        <f t="shared" si="39"/>
        <v>0.14999999999997726</v>
      </c>
      <c r="K149">
        <f t="shared" si="40"/>
        <v>8.5567598402725188E-3</v>
      </c>
      <c r="M149" s="19">
        <v>3.5999999999999997E-2</v>
      </c>
      <c r="N149" s="19">
        <f t="shared" si="35"/>
        <v>3.0804335424981067E-4</v>
      </c>
      <c r="P149" s="19"/>
    </row>
    <row r="150" spans="1:16">
      <c r="P150" s="19"/>
    </row>
    <row r="151" spans="1:16">
      <c r="O151" s="19"/>
    </row>
    <row r="152" spans="1:16">
      <c r="O152" s="19"/>
    </row>
    <row r="153" spans="1:16">
      <c r="O153" s="19"/>
    </row>
    <row r="154" spans="1:16">
      <c r="O154" s="19"/>
    </row>
    <row r="155" spans="1:16">
      <c r="O155" s="19"/>
    </row>
    <row r="156" spans="1:16">
      <c r="O156" s="19"/>
    </row>
    <row r="157" spans="1:16">
      <c r="O157" s="19"/>
    </row>
    <row r="158" spans="1:16">
      <c r="O158" s="1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9FF56-0977-4AE7-AF5E-EB1D8EC0C55E}">
  <dimension ref="A1:W45"/>
  <sheetViews>
    <sheetView workbookViewId="0">
      <selection activeCell="K35" sqref="K35"/>
    </sheetView>
  </sheetViews>
  <sheetFormatPr defaultRowHeight="14.45"/>
  <cols>
    <col min="1" max="1" width="14" style="1" customWidth="1"/>
    <col min="9" max="9" width="9.28515625" bestFit="1" customWidth="1"/>
  </cols>
  <sheetData>
    <row r="1" spans="1:23" ht="72.75">
      <c r="A1" s="27" t="s">
        <v>28</v>
      </c>
      <c r="B1" s="27" t="s">
        <v>29</v>
      </c>
      <c r="C1" s="28" t="s">
        <v>30</v>
      </c>
      <c r="D1" s="38" t="s">
        <v>31</v>
      </c>
      <c r="E1" s="28" t="s">
        <v>32</v>
      </c>
      <c r="F1" s="29" t="s">
        <v>33</v>
      </c>
      <c r="G1" s="29" t="s">
        <v>34</v>
      </c>
      <c r="H1" t="s">
        <v>2</v>
      </c>
    </row>
    <row r="2" spans="1:23" ht="15">
      <c r="A2" s="30" t="s">
        <v>12</v>
      </c>
      <c r="B2" s="31" t="s">
        <v>96</v>
      </c>
      <c r="C2" s="31">
        <v>1.64</v>
      </c>
      <c r="D2" s="31">
        <v>2.44</v>
      </c>
      <c r="E2" s="31">
        <v>3.56</v>
      </c>
      <c r="F2" s="29">
        <f>E2-C2</f>
        <v>1.9200000000000002</v>
      </c>
      <c r="G2" s="29">
        <f>D2-F2</f>
        <v>0.5199999999999998</v>
      </c>
      <c r="H2">
        <f>G2/F2</f>
        <v>0.2708333333333332</v>
      </c>
      <c r="I2">
        <v>0.27083333333333298</v>
      </c>
    </row>
    <row r="3" spans="1:23" ht="15">
      <c r="A3" s="32" t="s">
        <v>17</v>
      </c>
      <c r="B3" s="33" t="s">
        <v>97</v>
      </c>
      <c r="C3" s="33">
        <v>1.63</v>
      </c>
      <c r="D3" s="33">
        <v>2.4900000000000002</v>
      </c>
      <c r="E3" s="33">
        <v>3.45</v>
      </c>
      <c r="F3" s="29">
        <f t="shared" ref="F3:F37" si="0">E3-C3</f>
        <v>1.8200000000000003</v>
      </c>
      <c r="G3" s="29">
        <f t="shared" ref="G3:G37" si="1">D3-F3</f>
        <v>0.66999999999999993</v>
      </c>
      <c r="H3">
        <f t="shared" ref="H3:H37" si="2">G3/F3</f>
        <v>0.36813186813186805</v>
      </c>
      <c r="I3">
        <v>0.36813186813186805</v>
      </c>
    </row>
    <row r="4" spans="1:23" ht="15">
      <c r="A4" s="32" t="s">
        <v>18</v>
      </c>
      <c r="B4" s="33" t="s">
        <v>98</v>
      </c>
      <c r="C4" s="33">
        <v>1.61</v>
      </c>
      <c r="D4" s="33">
        <v>2.2999999999999998</v>
      </c>
      <c r="E4" s="33">
        <v>3.34</v>
      </c>
      <c r="F4" s="29">
        <f t="shared" si="0"/>
        <v>1.7299999999999998</v>
      </c>
      <c r="G4" s="29">
        <f t="shared" si="1"/>
        <v>0.57000000000000006</v>
      </c>
      <c r="H4">
        <f t="shared" si="2"/>
        <v>0.32947976878612723</v>
      </c>
      <c r="I4">
        <v>0.32947976878612723</v>
      </c>
    </row>
    <row r="5" spans="1:23" ht="15">
      <c r="A5" s="32" t="s">
        <v>19</v>
      </c>
      <c r="B5" s="33" t="s">
        <v>99</v>
      </c>
      <c r="C5" s="33">
        <v>1.62</v>
      </c>
      <c r="D5" s="33">
        <v>2.95</v>
      </c>
      <c r="E5" s="33">
        <v>3.99</v>
      </c>
      <c r="F5" s="29">
        <f t="shared" si="0"/>
        <v>2.37</v>
      </c>
      <c r="G5" s="29">
        <f t="shared" si="1"/>
        <v>0.58000000000000007</v>
      </c>
      <c r="H5">
        <f t="shared" si="2"/>
        <v>0.24472573839662448</v>
      </c>
      <c r="I5">
        <v>0.24472573839662448</v>
      </c>
      <c r="N5" s="42"/>
      <c r="O5" s="42"/>
      <c r="P5" s="42"/>
      <c r="Q5" s="42"/>
      <c r="R5" s="42"/>
      <c r="S5" s="42"/>
      <c r="T5" s="42"/>
      <c r="U5" s="42"/>
      <c r="V5" s="42"/>
      <c r="W5" s="42"/>
    </row>
    <row r="6" spans="1:23" ht="15">
      <c r="A6" s="32" t="s">
        <v>20</v>
      </c>
      <c r="B6" s="33" t="s">
        <v>100</v>
      </c>
      <c r="C6" s="33">
        <v>1.67</v>
      </c>
      <c r="D6" s="33">
        <v>2.75</v>
      </c>
      <c r="E6" s="33">
        <v>3.98</v>
      </c>
      <c r="F6" s="29">
        <f t="shared" si="0"/>
        <v>2.31</v>
      </c>
      <c r="G6" s="29">
        <f t="shared" si="1"/>
        <v>0.43999999999999995</v>
      </c>
      <c r="H6">
        <f t="shared" si="2"/>
        <v>0.19047619047619044</v>
      </c>
      <c r="I6">
        <v>0.19047619047619044</v>
      </c>
      <c r="N6" s="43"/>
      <c r="O6" s="43"/>
      <c r="P6" s="43"/>
      <c r="Q6" s="43"/>
      <c r="R6" s="43"/>
      <c r="S6" s="43"/>
      <c r="T6" s="43"/>
      <c r="U6" s="43"/>
      <c r="V6" s="43"/>
      <c r="W6" s="42"/>
    </row>
    <row r="7" spans="1:23" ht="15">
      <c r="A7" s="32" t="s">
        <v>21</v>
      </c>
      <c r="B7" s="33" t="s">
        <v>101</v>
      </c>
      <c r="C7" s="33">
        <v>1.66</v>
      </c>
      <c r="D7" s="33">
        <v>2.12</v>
      </c>
      <c r="E7" s="33">
        <v>3.23</v>
      </c>
      <c r="F7" s="29">
        <f t="shared" si="0"/>
        <v>1.57</v>
      </c>
      <c r="G7" s="29">
        <f t="shared" si="1"/>
        <v>0.55000000000000004</v>
      </c>
      <c r="H7">
        <f t="shared" si="2"/>
        <v>0.35031847133757965</v>
      </c>
      <c r="I7">
        <v>0.35031847133757965</v>
      </c>
      <c r="N7" s="43"/>
      <c r="O7" s="43"/>
      <c r="P7" s="43"/>
      <c r="Q7" s="43"/>
      <c r="R7" s="43"/>
      <c r="S7" s="43"/>
      <c r="T7" s="43"/>
      <c r="U7" s="43"/>
      <c r="V7" s="43"/>
      <c r="W7" s="42"/>
    </row>
    <row r="8" spans="1:23" ht="15">
      <c r="A8" s="32" t="s">
        <v>22</v>
      </c>
      <c r="B8" s="33" t="s">
        <v>102</v>
      </c>
      <c r="C8" s="33">
        <v>1.68</v>
      </c>
      <c r="D8" s="33">
        <v>2.68</v>
      </c>
      <c r="E8" s="33">
        <v>3.76</v>
      </c>
      <c r="F8" s="29">
        <f t="shared" si="0"/>
        <v>2.08</v>
      </c>
      <c r="G8" s="29">
        <f t="shared" si="1"/>
        <v>0.60000000000000009</v>
      </c>
      <c r="H8">
        <f t="shared" si="2"/>
        <v>0.28846153846153849</v>
      </c>
      <c r="I8">
        <v>0.28846153846153849</v>
      </c>
      <c r="N8" s="43"/>
      <c r="O8" s="43"/>
      <c r="P8" s="43"/>
      <c r="Q8" s="43"/>
      <c r="R8" s="43"/>
      <c r="S8" s="43"/>
      <c r="T8" s="43"/>
      <c r="U8" s="43"/>
      <c r="V8" s="43"/>
      <c r="W8" s="42"/>
    </row>
    <row r="9" spans="1:23" ht="15">
      <c r="A9" s="32" t="s">
        <v>23</v>
      </c>
      <c r="B9" s="33" t="s">
        <v>103</v>
      </c>
      <c r="C9" s="33">
        <v>1.63</v>
      </c>
      <c r="D9" s="33">
        <v>2.04</v>
      </c>
      <c r="E9" s="33">
        <v>3.31</v>
      </c>
      <c r="F9" s="29">
        <f t="shared" si="0"/>
        <v>1.6800000000000002</v>
      </c>
      <c r="G9" s="29">
        <f t="shared" si="1"/>
        <v>0.35999999999999988</v>
      </c>
      <c r="H9">
        <f t="shared" si="2"/>
        <v>0.21428571428571419</v>
      </c>
      <c r="I9">
        <v>0.21428571428571419</v>
      </c>
      <c r="N9" s="43"/>
      <c r="O9" s="43"/>
      <c r="P9" s="43"/>
      <c r="Q9" s="43"/>
      <c r="R9" s="43"/>
      <c r="S9" s="43"/>
      <c r="T9" s="43"/>
      <c r="U9" s="43"/>
      <c r="V9" s="43"/>
      <c r="W9" s="42"/>
    </row>
    <row r="10" spans="1:23" ht="15">
      <c r="A10" s="32" t="s">
        <v>24</v>
      </c>
      <c r="B10" s="33" t="s">
        <v>35</v>
      </c>
      <c r="C10" s="33">
        <v>1.29</v>
      </c>
      <c r="D10" s="33">
        <v>2.57</v>
      </c>
      <c r="E10" s="33">
        <v>3.43</v>
      </c>
      <c r="F10" s="29">
        <f t="shared" si="0"/>
        <v>2.14</v>
      </c>
      <c r="G10" s="29">
        <f t="shared" si="1"/>
        <v>0.42999999999999972</v>
      </c>
      <c r="H10">
        <f t="shared" si="2"/>
        <v>0.20093457943925219</v>
      </c>
      <c r="I10">
        <v>0.20093457943925219</v>
      </c>
      <c r="N10" s="43"/>
      <c r="O10" s="27"/>
      <c r="P10" s="27"/>
      <c r="Q10" s="28"/>
      <c r="R10" s="28"/>
      <c r="S10" s="28"/>
      <c r="T10" s="43"/>
      <c r="U10" s="43"/>
      <c r="V10" s="43"/>
      <c r="W10" s="42"/>
    </row>
    <row r="11" spans="1:23" ht="15">
      <c r="A11" s="32" t="s">
        <v>25</v>
      </c>
      <c r="B11" s="33" t="s">
        <v>36</v>
      </c>
      <c r="C11" s="33">
        <v>1.29</v>
      </c>
      <c r="D11" s="33">
        <v>2.91</v>
      </c>
      <c r="E11" s="33">
        <v>3.79</v>
      </c>
      <c r="F11" s="29">
        <f t="shared" si="0"/>
        <v>2.5</v>
      </c>
      <c r="G11" s="29">
        <f t="shared" si="1"/>
        <v>0.41000000000000014</v>
      </c>
      <c r="H11">
        <f t="shared" si="2"/>
        <v>0.16400000000000006</v>
      </c>
      <c r="I11">
        <v>0.16400000000000006</v>
      </c>
      <c r="N11" s="43"/>
      <c r="O11" s="29"/>
      <c r="P11" s="29"/>
      <c r="Q11" s="29"/>
      <c r="R11" s="29"/>
      <c r="S11" s="29"/>
      <c r="T11" s="29"/>
      <c r="U11" s="29"/>
      <c r="V11" s="43"/>
      <c r="W11" s="42"/>
    </row>
    <row r="12" spans="1:23" ht="15">
      <c r="A12" s="32" t="s">
        <v>26</v>
      </c>
      <c r="B12" s="33" t="s">
        <v>37</v>
      </c>
      <c r="C12" s="33">
        <v>1.29</v>
      </c>
      <c r="D12" s="33">
        <v>2.21</v>
      </c>
      <c r="E12" s="33">
        <v>3</v>
      </c>
      <c r="F12" s="29">
        <f t="shared" si="0"/>
        <v>1.71</v>
      </c>
      <c r="G12" s="29">
        <f t="shared" si="1"/>
        <v>0.5</v>
      </c>
      <c r="H12">
        <f t="shared" si="2"/>
        <v>0.29239766081871343</v>
      </c>
      <c r="I12">
        <v>0.29239766081871343</v>
      </c>
      <c r="N12" s="43"/>
      <c r="O12" s="29"/>
      <c r="P12" s="29"/>
      <c r="Q12" s="29"/>
      <c r="R12" s="29"/>
      <c r="S12" s="29"/>
      <c r="T12" s="29"/>
      <c r="U12" s="29"/>
      <c r="V12" s="43"/>
      <c r="W12" s="42"/>
    </row>
    <row r="13" spans="1:23" ht="15">
      <c r="A13" s="32" t="s">
        <v>27</v>
      </c>
      <c r="B13" s="33" t="s">
        <v>38</v>
      </c>
      <c r="C13" s="33">
        <v>1.29</v>
      </c>
      <c r="D13" s="33">
        <v>2.81</v>
      </c>
      <c r="E13" s="33">
        <v>3.48</v>
      </c>
      <c r="F13" s="29">
        <f t="shared" si="0"/>
        <v>2.19</v>
      </c>
      <c r="G13" s="29">
        <f t="shared" si="1"/>
        <v>0.62000000000000011</v>
      </c>
      <c r="H13">
        <f t="shared" si="2"/>
        <v>0.28310502283105027</v>
      </c>
      <c r="I13">
        <v>0.28310502283105027</v>
      </c>
      <c r="N13" s="43"/>
      <c r="O13" s="29"/>
      <c r="P13" s="29"/>
      <c r="Q13" s="29"/>
      <c r="R13" s="29"/>
      <c r="S13" s="29"/>
      <c r="T13" s="29"/>
      <c r="U13" s="29"/>
      <c r="V13" s="43"/>
      <c r="W13" s="42"/>
    </row>
    <row r="14" spans="1:23" ht="15">
      <c r="A14" s="34" t="s">
        <v>55</v>
      </c>
      <c r="B14" s="32" t="s">
        <v>104</v>
      </c>
      <c r="C14" s="33">
        <v>4.0999999999999996</v>
      </c>
      <c r="D14" s="33">
        <v>3.01</v>
      </c>
      <c r="E14" s="33">
        <v>6</v>
      </c>
      <c r="F14" s="29">
        <f>E14-C14</f>
        <v>1.9000000000000004</v>
      </c>
      <c r="G14" s="29">
        <f t="shared" si="1"/>
        <v>1.1099999999999994</v>
      </c>
      <c r="H14" s="37">
        <f>G14/F14</f>
        <v>0.58421052631578907</v>
      </c>
      <c r="I14" s="37">
        <v>-2.3681818181818199</v>
      </c>
      <c r="K14">
        <f>E14+C14</f>
        <v>10.1</v>
      </c>
      <c r="N14" s="43"/>
      <c r="O14" s="29"/>
      <c r="P14" s="29"/>
      <c r="Q14" s="29"/>
      <c r="R14" s="29"/>
      <c r="S14" s="29"/>
      <c r="T14" s="29"/>
      <c r="U14" s="29"/>
      <c r="V14" s="43"/>
      <c r="W14" s="42"/>
    </row>
    <row r="15" spans="1:23" ht="15">
      <c r="A15" s="34" t="s">
        <v>56</v>
      </c>
      <c r="B15" s="32" t="s">
        <v>105</v>
      </c>
      <c r="C15" s="33">
        <v>4.08</v>
      </c>
      <c r="D15" s="33">
        <v>3.04</v>
      </c>
      <c r="E15" s="33">
        <v>6.38</v>
      </c>
      <c r="F15" s="29">
        <f t="shared" si="0"/>
        <v>2.2999999999999998</v>
      </c>
      <c r="G15" s="29">
        <f t="shared" si="1"/>
        <v>0.74000000000000021</v>
      </c>
      <c r="H15" s="37">
        <f t="shared" si="2"/>
        <v>0.32173913043478275</v>
      </c>
      <c r="I15" s="37">
        <v>-2.7078651685393256</v>
      </c>
      <c r="K15">
        <f>E15+C15</f>
        <v>10.46</v>
      </c>
      <c r="N15" s="43"/>
      <c r="O15" s="43"/>
      <c r="P15" s="43"/>
      <c r="Q15" s="43"/>
      <c r="R15" s="43"/>
      <c r="S15" s="43"/>
      <c r="T15" s="43"/>
      <c r="U15" s="43"/>
      <c r="V15" s="43"/>
      <c r="W15" s="42"/>
    </row>
    <row r="16" spans="1:23" ht="15">
      <c r="A16" s="34" t="s">
        <v>57</v>
      </c>
      <c r="B16" s="32" t="s">
        <v>106</v>
      </c>
      <c r="C16" s="33">
        <v>4.08</v>
      </c>
      <c r="D16" s="33">
        <v>3.05</v>
      </c>
      <c r="E16" s="33">
        <v>6.21</v>
      </c>
      <c r="F16" s="29">
        <f t="shared" si="0"/>
        <v>2.13</v>
      </c>
      <c r="G16" s="29">
        <f t="shared" si="1"/>
        <v>0.91999999999999993</v>
      </c>
      <c r="H16" s="37">
        <f t="shared" si="2"/>
        <v>0.43192488262910794</v>
      </c>
      <c r="I16" s="37">
        <v>-2.5641025641025639</v>
      </c>
      <c r="K16">
        <f t="shared" ref="K15:K17" si="3">E16+C16</f>
        <v>10.29</v>
      </c>
      <c r="N16" s="43"/>
      <c r="O16" s="43"/>
      <c r="P16" s="43"/>
      <c r="Q16" s="43"/>
      <c r="R16" s="43"/>
      <c r="S16" s="43"/>
      <c r="T16" s="43"/>
      <c r="U16" s="43"/>
      <c r="V16" s="43"/>
      <c r="W16" s="42"/>
    </row>
    <row r="17" spans="1:22" ht="15">
      <c r="A17" s="35" t="s">
        <v>58</v>
      </c>
      <c r="B17" s="32" t="s">
        <v>107</v>
      </c>
      <c r="C17" s="33">
        <v>4.12</v>
      </c>
      <c r="D17" s="33">
        <v>3.01</v>
      </c>
      <c r="E17" s="33">
        <v>6.51</v>
      </c>
      <c r="F17" s="29">
        <f t="shared" si="0"/>
        <v>2.3899999999999997</v>
      </c>
      <c r="G17" s="29">
        <f t="shared" si="1"/>
        <v>0.62000000000000011</v>
      </c>
      <c r="H17" s="37">
        <f t="shared" si="2"/>
        <v>0.25941422594142266</v>
      </c>
      <c r="I17" s="37">
        <v>-2.7398843930635839</v>
      </c>
      <c r="K17">
        <f t="shared" si="3"/>
        <v>10.629999999999999</v>
      </c>
      <c r="N17" s="40"/>
      <c r="O17" s="40"/>
      <c r="P17" s="40"/>
      <c r="Q17" s="40"/>
      <c r="R17" s="40"/>
      <c r="S17" s="40"/>
      <c r="T17" s="40"/>
      <c r="U17" s="40"/>
      <c r="V17" s="40"/>
    </row>
    <row r="18" spans="1:22" ht="15">
      <c r="A18" s="36" t="s">
        <v>59</v>
      </c>
      <c r="B18" s="32">
        <v>1</v>
      </c>
      <c r="C18" s="33">
        <v>4.12</v>
      </c>
      <c r="D18" s="33">
        <v>3.01</v>
      </c>
      <c r="E18" s="33">
        <v>6.27</v>
      </c>
      <c r="F18" s="29">
        <f t="shared" si="0"/>
        <v>2.1499999999999995</v>
      </c>
      <c r="G18" s="29">
        <f t="shared" si="1"/>
        <v>0.86000000000000032</v>
      </c>
      <c r="H18">
        <f t="shared" si="2"/>
        <v>0.40000000000000024</v>
      </c>
      <c r="I18">
        <v>0.40000000000000024</v>
      </c>
      <c r="N18" s="40"/>
      <c r="O18" s="40"/>
      <c r="P18" s="40"/>
      <c r="Q18" s="40"/>
      <c r="R18" s="40"/>
      <c r="S18" s="40"/>
      <c r="T18" s="40"/>
      <c r="U18" s="40"/>
      <c r="V18" s="40"/>
    </row>
    <row r="19" spans="1:22" ht="15">
      <c r="A19" s="36" t="s">
        <v>60</v>
      </c>
      <c r="B19" s="32">
        <v>2</v>
      </c>
      <c r="C19" s="33">
        <v>4.12</v>
      </c>
      <c r="D19" s="33">
        <v>3</v>
      </c>
      <c r="E19" s="33">
        <v>6.55</v>
      </c>
      <c r="F19" s="29">
        <f t="shared" si="0"/>
        <v>2.4299999999999997</v>
      </c>
      <c r="G19" s="29">
        <f t="shared" si="1"/>
        <v>0.57000000000000028</v>
      </c>
      <c r="H19">
        <f t="shared" si="2"/>
        <v>0.23456790123456805</v>
      </c>
      <c r="I19">
        <v>0.23456790123456805</v>
      </c>
      <c r="N19" s="40"/>
      <c r="O19" s="40"/>
      <c r="P19" s="40"/>
      <c r="Q19" s="40"/>
      <c r="R19" s="40"/>
      <c r="S19" s="40"/>
      <c r="T19" s="40"/>
      <c r="U19" s="40"/>
      <c r="V19" s="40"/>
    </row>
    <row r="20" spans="1:22" ht="15">
      <c r="A20" s="36" t="s">
        <v>61</v>
      </c>
      <c r="B20" s="32">
        <v>3</v>
      </c>
      <c r="C20" s="33">
        <v>4.12</v>
      </c>
      <c r="D20" s="33">
        <v>3.15</v>
      </c>
      <c r="E20" s="33">
        <v>6.41</v>
      </c>
      <c r="F20" s="29">
        <f t="shared" si="0"/>
        <v>2.29</v>
      </c>
      <c r="G20" s="29">
        <f t="shared" si="1"/>
        <v>0.85999999999999988</v>
      </c>
      <c r="H20">
        <f t="shared" si="2"/>
        <v>0.37554585152838421</v>
      </c>
      <c r="I20">
        <v>0.37554585152838421</v>
      </c>
      <c r="N20" s="40"/>
      <c r="O20" s="40"/>
      <c r="P20" s="40"/>
      <c r="Q20" s="40"/>
      <c r="R20" s="40"/>
      <c r="S20" s="40"/>
      <c r="T20" s="40"/>
      <c r="U20" s="40"/>
      <c r="V20" s="40"/>
    </row>
    <row r="21" spans="1:22" ht="15">
      <c r="A21" s="36" t="s">
        <v>62</v>
      </c>
      <c r="B21" s="32">
        <v>4</v>
      </c>
      <c r="C21" s="33">
        <v>4.0999999999999996</v>
      </c>
      <c r="D21" s="33">
        <v>3.51</v>
      </c>
      <c r="E21" s="33">
        <v>7.01</v>
      </c>
      <c r="F21" s="29">
        <f t="shared" si="0"/>
        <v>2.91</v>
      </c>
      <c r="G21" s="29">
        <f t="shared" si="1"/>
        <v>0.59999999999999964</v>
      </c>
      <c r="H21">
        <f t="shared" si="2"/>
        <v>0.20618556701030916</v>
      </c>
      <c r="I21">
        <v>0.20618556701030916</v>
      </c>
      <c r="N21" s="40"/>
      <c r="O21" s="40"/>
      <c r="P21" s="40"/>
      <c r="Q21" s="40"/>
      <c r="R21" s="40"/>
      <c r="S21" s="40"/>
      <c r="T21" s="40"/>
      <c r="U21" s="40"/>
      <c r="V21" s="40"/>
    </row>
    <row r="22" spans="1:22" ht="15">
      <c r="A22" s="32" t="s">
        <v>63</v>
      </c>
      <c r="B22" s="33">
        <v>5</v>
      </c>
      <c r="C22" s="33">
        <v>4.0999999999999996</v>
      </c>
      <c r="D22" s="33">
        <v>3.04</v>
      </c>
      <c r="E22" s="33">
        <v>6.39</v>
      </c>
      <c r="F22" s="29">
        <f t="shared" si="0"/>
        <v>2.29</v>
      </c>
      <c r="G22" s="29">
        <f t="shared" si="1"/>
        <v>0.75</v>
      </c>
      <c r="H22">
        <f t="shared" si="2"/>
        <v>0.32751091703056767</v>
      </c>
      <c r="I22">
        <v>0.32751091703056767</v>
      </c>
    </row>
    <row r="23" spans="1:22" ht="15">
      <c r="A23" s="32" t="s">
        <v>68</v>
      </c>
      <c r="B23" s="33">
        <v>6</v>
      </c>
      <c r="C23" s="33">
        <v>4.0999999999999996</v>
      </c>
      <c r="D23" s="33">
        <v>3.02</v>
      </c>
      <c r="E23" s="33">
        <v>6.37</v>
      </c>
      <c r="F23" s="29">
        <f t="shared" si="0"/>
        <v>2.2700000000000005</v>
      </c>
      <c r="G23" s="29">
        <f t="shared" si="1"/>
        <v>0.74999999999999956</v>
      </c>
      <c r="H23">
        <f t="shared" si="2"/>
        <v>0.33039647577092485</v>
      </c>
      <c r="I23">
        <v>0.33039647577092485</v>
      </c>
    </row>
    <row r="24" spans="1:22" ht="15">
      <c r="A24" s="32" t="s">
        <v>73</v>
      </c>
      <c r="B24" s="33">
        <v>7</v>
      </c>
      <c r="C24" s="33">
        <v>4.1399999999999997</v>
      </c>
      <c r="D24" s="33">
        <v>3.07</v>
      </c>
      <c r="E24" s="33">
        <v>6.5</v>
      </c>
      <c r="F24" s="29">
        <f t="shared" si="0"/>
        <v>2.3600000000000003</v>
      </c>
      <c r="G24" s="29">
        <f t="shared" si="1"/>
        <v>0.70999999999999952</v>
      </c>
      <c r="H24">
        <f t="shared" si="2"/>
        <v>0.3008474576271184</v>
      </c>
      <c r="I24">
        <v>0.3008474576271184</v>
      </c>
    </row>
    <row r="25" spans="1:22" ht="15">
      <c r="A25" s="32" t="s">
        <v>78</v>
      </c>
      <c r="B25" s="33">
        <v>8</v>
      </c>
      <c r="C25" s="33">
        <v>4.0999999999999996</v>
      </c>
      <c r="D25" s="33">
        <v>3.09</v>
      </c>
      <c r="E25" s="33">
        <v>6.36</v>
      </c>
      <c r="F25" s="29">
        <f t="shared" si="0"/>
        <v>2.2600000000000007</v>
      </c>
      <c r="G25" s="29">
        <f t="shared" si="1"/>
        <v>0.82999999999999918</v>
      </c>
      <c r="H25">
        <f t="shared" si="2"/>
        <v>0.36725663716814111</v>
      </c>
      <c r="I25">
        <v>0.36725663716814111</v>
      </c>
    </row>
    <row r="26" spans="1:22" ht="15">
      <c r="A26" s="32" t="s">
        <v>83</v>
      </c>
      <c r="B26" s="33">
        <v>1</v>
      </c>
      <c r="C26" s="33">
        <v>4.1100000000000003</v>
      </c>
      <c r="D26" s="33">
        <v>3.27</v>
      </c>
      <c r="E26" s="33">
        <v>6.53</v>
      </c>
      <c r="F26" s="29">
        <f t="shared" si="0"/>
        <v>2.42</v>
      </c>
      <c r="G26" s="29">
        <f t="shared" si="1"/>
        <v>0.85000000000000009</v>
      </c>
      <c r="H26">
        <f t="shared" si="2"/>
        <v>0.35123966942148765</v>
      </c>
      <c r="I26">
        <v>0.35123966942148765</v>
      </c>
    </row>
    <row r="27" spans="1:22" ht="15">
      <c r="A27" s="32" t="s">
        <v>84</v>
      </c>
      <c r="B27" s="33">
        <v>2</v>
      </c>
      <c r="C27" s="33">
        <v>4.1399999999999997</v>
      </c>
      <c r="D27" s="33">
        <v>3.21</v>
      </c>
      <c r="E27" s="33">
        <v>6.8</v>
      </c>
      <c r="F27" s="29">
        <f t="shared" si="0"/>
        <v>2.66</v>
      </c>
      <c r="G27" s="29">
        <f t="shared" si="1"/>
        <v>0.54999999999999982</v>
      </c>
      <c r="H27">
        <f t="shared" si="2"/>
        <v>0.20676691729323302</v>
      </c>
      <c r="I27">
        <v>0.20676691729323302</v>
      </c>
    </row>
    <row r="28" spans="1:22" ht="15">
      <c r="A28" s="32" t="s">
        <v>88</v>
      </c>
      <c r="B28" s="33">
        <v>3</v>
      </c>
      <c r="C28" s="33">
        <v>4.1399999999999997</v>
      </c>
      <c r="D28" s="33">
        <v>3.23</v>
      </c>
      <c r="E28" s="33">
        <v>6.58</v>
      </c>
      <c r="F28" s="29">
        <f t="shared" si="0"/>
        <v>2.4400000000000004</v>
      </c>
      <c r="G28" s="29">
        <f t="shared" si="1"/>
        <v>0.78999999999999959</v>
      </c>
      <c r="H28">
        <f t="shared" si="2"/>
        <v>0.32377049180327849</v>
      </c>
      <c r="I28">
        <v>0.32377049180327849</v>
      </c>
    </row>
    <row r="29" spans="1:22" ht="15">
      <c r="A29" s="32" t="s">
        <v>86</v>
      </c>
      <c r="B29" s="33">
        <v>4</v>
      </c>
      <c r="C29" s="33">
        <v>4.0599999999999996</v>
      </c>
      <c r="D29" s="33">
        <v>3.27</v>
      </c>
      <c r="E29" s="33">
        <v>6.47</v>
      </c>
      <c r="F29" s="29">
        <f t="shared" si="0"/>
        <v>2.41</v>
      </c>
      <c r="G29" s="29">
        <f t="shared" si="1"/>
        <v>0.85999999999999988</v>
      </c>
      <c r="H29">
        <f t="shared" si="2"/>
        <v>0.3568464730290456</v>
      </c>
      <c r="I29">
        <v>0.3568464730290456</v>
      </c>
    </row>
    <row r="30" spans="1:22" ht="15">
      <c r="A30" s="32" t="s">
        <v>87</v>
      </c>
      <c r="B30" s="33">
        <v>5</v>
      </c>
      <c r="C30" s="33">
        <v>4.0599999999999996</v>
      </c>
      <c r="D30" s="33">
        <v>3.26</v>
      </c>
      <c r="E30" s="33">
        <v>6.62</v>
      </c>
      <c r="F30" s="29">
        <f t="shared" si="0"/>
        <v>2.5600000000000005</v>
      </c>
      <c r="G30" s="29">
        <f t="shared" si="1"/>
        <v>0.69999999999999929</v>
      </c>
      <c r="H30">
        <f t="shared" si="2"/>
        <v>0.27343749999999967</v>
      </c>
      <c r="I30">
        <v>0.27343749999999967</v>
      </c>
    </row>
    <row r="31" spans="1:22" ht="15">
      <c r="A31" s="32" t="s">
        <v>85</v>
      </c>
      <c r="B31" s="33">
        <v>6</v>
      </c>
      <c r="C31" s="33">
        <v>4.0999999999999996</v>
      </c>
      <c r="D31" s="33">
        <v>3.16</v>
      </c>
      <c r="E31" s="33">
        <v>6.41</v>
      </c>
      <c r="F31" s="29">
        <f t="shared" si="0"/>
        <v>2.3100000000000005</v>
      </c>
      <c r="G31" s="29">
        <f t="shared" si="1"/>
        <v>0.84999999999999964</v>
      </c>
      <c r="H31">
        <f t="shared" si="2"/>
        <v>0.36796536796536772</v>
      </c>
      <c r="I31">
        <v>0.36796536796536772</v>
      </c>
    </row>
    <row r="32" spans="1:22" ht="15">
      <c r="A32" s="32" t="s">
        <v>89</v>
      </c>
      <c r="B32" s="33">
        <v>7</v>
      </c>
      <c r="C32" s="33">
        <v>4.1100000000000003</v>
      </c>
      <c r="D32" s="33">
        <v>3.31</v>
      </c>
      <c r="E32" s="33">
        <v>6.58</v>
      </c>
      <c r="F32" s="29">
        <f t="shared" si="0"/>
        <v>2.4699999999999998</v>
      </c>
      <c r="G32" s="29">
        <f t="shared" si="1"/>
        <v>0.8400000000000003</v>
      </c>
      <c r="H32">
        <f t="shared" si="2"/>
        <v>0.34008097165991918</v>
      </c>
      <c r="I32">
        <v>0.34008097165991918</v>
      </c>
    </row>
    <row r="33" spans="1:9" ht="15">
      <c r="A33" s="32" t="s">
        <v>90</v>
      </c>
      <c r="B33" s="33">
        <v>8</v>
      </c>
      <c r="C33" s="33">
        <v>4.08</v>
      </c>
      <c r="D33" s="33">
        <v>3.37</v>
      </c>
      <c r="E33" s="33">
        <v>6.84</v>
      </c>
      <c r="F33" s="29">
        <f t="shared" si="0"/>
        <v>2.76</v>
      </c>
      <c r="G33" s="29">
        <f t="shared" si="1"/>
        <v>0.61000000000000032</v>
      </c>
      <c r="H33">
        <f t="shared" si="2"/>
        <v>0.22101449275362331</v>
      </c>
      <c r="I33">
        <v>0.22101449275362331</v>
      </c>
    </row>
    <row r="34" spans="1:9" ht="15">
      <c r="A34" s="32" t="s">
        <v>91</v>
      </c>
      <c r="B34" s="33">
        <v>1</v>
      </c>
      <c r="C34" s="33">
        <v>4.09</v>
      </c>
      <c r="D34" s="33">
        <v>3.03</v>
      </c>
      <c r="E34" s="33">
        <v>6.38</v>
      </c>
      <c r="F34" s="29">
        <f t="shared" si="0"/>
        <v>2.29</v>
      </c>
      <c r="G34" s="29">
        <f t="shared" si="1"/>
        <v>0.73999999999999977</v>
      </c>
      <c r="H34">
        <f t="shared" si="2"/>
        <v>0.32314410480349337</v>
      </c>
      <c r="I34">
        <v>0.32314410480349337</v>
      </c>
    </row>
    <row r="35" spans="1:9" ht="15">
      <c r="A35" s="32" t="s">
        <v>92</v>
      </c>
      <c r="B35" s="33">
        <v>2</v>
      </c>
      <c r="C35" s="33">
        <v>4.12</v>
      </c>
      <c r="D35" s="33">
        <v>2.99</v>
      </c>
      <c r="E35" s="33">
        <v>6.37</v>
      </c>
      <c r="F35" s="29">
        <f t="shared" si="0"/>
        <v>2.25</v>
      </c>
      <c r="G35" s="29">
        <f t="shared" si="1"/>
        <v>0.74000000000000021</v>
      </c>
      <c r="H35">
        <f t="shared" si="2"/>
        <v>0.32888888888888901</v>
      </c>
      <c r="I35">
        <v>0.32888888888888901</v>
      </c>
    </row>
    <row r="36" spans="1:9" ht="15">
      <c r="A36" s="32" t="s">
        <v>93</v>
      </c>
      <c r="B36" s="33">
        <v>3</v>
      </c>
      <c r="C36" s="33">
        <v>4.12</v>
      </c>
      <c r="D36" s="33">
        <v>3.01</v>
      </c>
      <c r="E36" s="33">
        <v>6.37</v>
      </c>
      <c r="F36" s="29">
        <f t="shared" si="0"/>
        <v>2.25</v>
      </c>
      <c r="G36" s="29">
        <f t="shared" si="1"/>
        <v>0.75999999999999979</v>
      </c>
      <c r="H36">
        <f t="shared" si="2"/>
        <v>0.33777777777777768</v>
      </c>
      <c r="I36">
        <v>0.33777777777777768</v>
      </c>
    </row>
    <row r="37" spans="1:9" ht="15">
      <c r="A37" s="32" t="s">
        <v>94</v>
      </c>
      <c r="B37" s="33">
        <v>4</v>
      </c>
      <c r="C37" s="33">
        <v>4.12</v>
      </c>
      <c r="D37" s="33">
        <v>3.09</v>
      </c>
      <c r="E37" s="33">
        <v>6.29</v>
      </c>
      <c r="F37" s="29">
        <f t="shared" si="0"/>
        <v>2.17</v>
      </c>
      <c r="G37" s="29">
        <f t="shared" si="1"/>
        <v>0.91999999999999993</v>
      </c>
      <c r="H37">
        <f t="shared" si="2"/>
        <v>0.42396313364055299</v>
      </c>
      <c r="I37">
        <v>0.42396313364055299</v>
      </c>
    </row>
    <row r="38" spans="1:9" ht="15">
      <c r="A38" s="29"/>
      <c r="B38" s="29"/>
      <c r="C38" s="29"/>
      <c r="D38" s="29"/>
      <c r="E38" s="29"/>
      <c r="F38" s="29"/>
      <c r="G38" s="29"/>
    </row>
    <row r="39" spans="1:9" ht="15">
      <c r="A39" s="29"/>
      <c r="B39" s="29"/>
      <c r="C39" s="29"/>
      <c r="D39" s="29"/>
      <c r="E39" s="29"/>
      <c r="F39" s="29"/>
      <c r="G39" s="29"/>
    </row>
    <row r="40" spans="1:9" ht="15">
      <c r="A40" s="29"/>
      <c r="B40" s="29"/>
      <c r="C40" s="29"/>
      <c r="D40" s="29"/>
      <c r="E40" s="29"/>
      <c r="F40" s="29"/>
      <c r="G40" s="29"/>
    </row>
    <row r="41" spans="1:9" ht="15">
      <c r="A41" s="29"/>
      <c r="B41" s="29"/>
      <c r="C41" s="29"/>
      <c r="D41" s="29"/>
      <c r="E41" s="29"/>
      <c r="F41" s="29"/>
      <c r="G41" s="29"/>
    </row>
    <row r="42" spans="1:9" ht="15">
      <c r="A42" s="29"/>
      <c r="B42" s="29"/>
      <c r="C42" s="29"/>
      <c r="D42" s="29"/>
      <c r="E42" s="29"/>
      <c r="F42" s="29"/>
      <c r="G42" s="29"/>
    </row>
    <row r="43" spans="1:9" ht="15">
      <c r="A43" s="29"/>
      <c r="B43" s="29"/>
      <c r="C43" s="29"/>
      <c r="D43" s="29"/>
      <c r="E43" s="29"/>
      <c r="F43" s="29"/>
      <c r="G43" s="29"/>
    </row>
    <row r="44" spans="1:9" ht="15">
      <c r="A44" s="29"/>
      <c r="B44" s="29"/>
      <c r="C44" s="29"/>
      <c r="D44" s="29"/>
      <c r="E44" s="29"/>
      <c r="F44" s="29"/>
      <c r="G44" s="29"/>
    </row>
    <row r="45" spans="1:9" ht="15">
      <c r="A45" s="29"/>
      <c r="B45" s="29"/>
      <c r="C45" s="29"/>
      <c r="D45" s="29"/>
      <c r="E45" s="29"/>
      <c r="F45" s="29"/>
      <c r="G45" s="29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c7a9e26b68c7148b1f4c19027baf6be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ea92f46ce11959a32adf5425306acb8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E3E63C-79E2-40D5-B03B-77942961F9AF}"/>
</file>

<file path=customXml/itemProps2.xml><?xml version="1.0" encoding="utf-8"?>
<ds:datastoreItem xmlns:ds="http://schemas.openxmlformats.org/officeDocument/2006/customXml" ds:itemID="{F0C9902B-CBB4-42FE-8932-EB30D59DCE8A}"/>
</file>

<file path=customXml/itemProps3.xml><?xml version="1.0" encoding="utf-8"?>
<ds:datastoreItem xmlns:ds="http://schemas.openxmlformats.org/officeDocument/2006/customXml" ds:itemID="{60F3C80B-B8EB-4864-830B-67E770377B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Garcia, Marci R</dc:creator>
  <cp:keywords/>
  <dc:description/>
  <cp:lastModifiedBy>Rod, Kenton A</cp:lastModifiedBy>
  <cp:revision/>
  <dcterms:created xsi:type="dcterms:W3CDTF">2025-12-17T00:40:02Z</dcterms:created>
  <dcterms:modified xsi:type="dcterms:W3CDTF">2026-05-26T17:27:53Z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  <property fmtid="{D5CDD505-2E9C-101B-9397-08002B2CF9AE}" pid="3" name="MediaServiceImageTags">
    <vt:lpwstr/>
  </property>
</Properties>
</file>
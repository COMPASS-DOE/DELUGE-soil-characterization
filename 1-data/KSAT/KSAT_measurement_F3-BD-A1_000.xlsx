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<sst xmlns="http://schemas.openxmlformats.org/spreadsheetml/2006/main" count="107" uniqueCount="106">
  <si>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</si>
  <si>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</si>
  <si>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</si>
  <si>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</si>
  <si>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</si>
  <si>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</si>
  <si>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</si>
  <si>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</si>
  <si>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</si>
  <si>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</si>
  <si>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</si>
  <si>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</si>
  <si>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KSAT_measurement_F3-BD-A1_000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</si>
  <si>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</si>
  <si>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</si>
  <si>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</si>
  <si>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</si>
  <si>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</si>
  <si>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</si>
  <si>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</si>
  <si>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</si>
  <si>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</si>
  <si>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</si>
  <si>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</si>
  <si>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</si>
  <si>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</si>
  <si>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</si>
  <si>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</si>
  <si>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</si>
  <si>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</si>
  <si>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</si>
  <si>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</si>
  <si>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</si>
  <si>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</si>
  <si>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</si>
  <si>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</si>
  <si>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</si>
  <si>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</si>
  <si>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</si>
  <si>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</si>
  <si>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</si>
  <si>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</si>
  <si>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</si>
  <si>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</si>
  <si>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</si>
  <si>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</si>
  <si>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</si>
  <si>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</si>
  <si>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</si>
  <si>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</si>
  <si>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</si>
  <si>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</si>
  <si>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</si>
  <si>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</si>
  <si>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</si>
  <si>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</si>
  <si>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</si>
  <si>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</si>
  <si>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</si>
  <si>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</si>
  <si>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</si>
  <si>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</si>
  <si>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</si>
  <si>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</si>
  <si>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</si>
  <si>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3:15:14 PM</t>
  </si>
  <si>
    <t>Test duration</t>
  </si>
  <si>
    <t>00:00:20</t>
  </si>
  <si>
    <t>RESULT</t>
  </si>
  <si>
    <t>Use auto offset adjustment</t>
  </si>
  <si>
    <t>Max offset adjustment [cm]</t>
  </si>
  <si>
    <t>1</t>
  </si>
  <si>
    <t>Fitting Parameter a [cm]</t>
  </si>
  <si>
    <t>15.51</t>
  </si>
  <si>
    <t>coefficient a of the fitted exponential pressure head decrease function y = a * exp(-b*t)+c, where y is the pressure head in cm and t is time in s</t>
  </si>
  <si>
    <t>Fitting Parameter b [s-1]</t>
  </si>
  <si>
    <t>-8.81E-02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</si>
  <si>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</si>
  <si>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</si>
  <si>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</si>
  <si>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</si>
  <si>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0.9963</t>
  </si>
  <si>
    <t>coefficient of determination of the exponential pressure head decrease function that is fitted to the observed data</t>
  </si>
  <si>
    <t>Ks Total [cm/d]</t>
  </si>
  <si>
    <t>10900.000</t>
  </si>
  <si>
    <t>Saturated hydraulic conductivity [cm/d] of the entire system</t>
  </si>
  <si>
    <t>Ks Total [m/s]</t>
  </si>
  <si>
    <t>1.27E-03</t>
  </si>
  <si>
    <t>Saturated hydraulic conductivity [m/s] of the entire system</t>
  </si>
  <si>
    <t>Ks Soil [cm/d]</t>
  </si>
  <si>
    <t>10400.000</t>
  </si>
  <si>
    <t>Saturated hydraulic conductivity [cm/d] of the soil sample itself</t>
  </si>
  <si>
    <t>Ks Soil [m/s]</t>
  </si>
  <si>
    <t>1.21E-03</t>
  </si>
  <si>
    <t>Saturated hydraulic conductivity [m/s] of the soil sample itself</t>
  </si>
  <si>
    <t>10290.000</t>
  </si>
  <si>
    <t>Saturated hydraulic conductivity [cm/d] of the soil sample  normalized to 10 °C mean field temperature</t>
  </si>
  <si>
    <t>1.20E-03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</si>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</sst>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71</v>
      </c>
      <c r="C45" s="1" t="s">
        <v>79</v>
      </c>
    </row>
    <row r="46" spans="1:3">
      <c r="A46" s="1" t="s">
        <v>80</v>
      </c>
      <c r="B46" s="1" t="s">
        <v>81</v>
      </c>
      <c r="C46" s="1" t="s">
        <v>82</v>
      </c>
    </row>
    <row r="47" spans="1:3">
      <c r="A47" s="1" t="s">
        <v>83</v>
      </c>
      <c r="B47" s="1" t="s">
        <v>84</v>
      </c>
      <c r="C47" s="1" t="s">
        <v>85</v>
      </c>
    </row>
    <row r="48" spans="1:3">
      <c r="A48" s="1" t="s">
        <v>86</v>
      </c>
      <c r="B48" s="6" t="s">
        <v>87</v>
      </c>
      <c r="C48" s="6" t="s">
        <v>88</v>
      </c>
    </row>
    <row r="49" spans="1:6">
      <c r="A49" s="1" t="s">
        <v>89</v>
      </c>
      <c r="B49" s="1" t="s">
        <v>90</v>
      </c>
      <c r="C49" s="1" t="s">
        <v>91</v>
      </c>
    </row>
    <row r="50" spans="1:6">
      <c r="A50" s="1" t="s">
        <v>92</v>
      </c>
      <c r="B50" s="6" t="s">
        <v>93</v>
      </c>
      <c r="C50" s="6" t="s">
        <v>94</v>
      </c>
    </row>
    <row r="51" spans="1:6">
      <c r="A51" s="1" t="str">
        <f>CONCATENATE("Ks Soil normalized at ",B32," °C [cm/d]")</f>
        <v>Ks Soil normalized at 20 °C [cm/d]</v>
      </c>
      <c r="B51" s="1" t="s">
        <v>95</v>
      </c>
      <c r="C51" s="1" t="s">
        <v>96</v>
      </c>
    </row>
    <row r="52" spans="1:6">
      <c r="A52" s="1" t="str">
        <f>CONCATENATE("Ks Soil normalized at ",B32," °C [m/s]")</f>
        <v>Ks Soil normalized at 20 °C [m/s]</v>
      </c>
      <c r="B52" s="6" t="s">
        <v>97</v>
      </c>
      <c r="C52" s="6" t="s">
        <v>98</v>
      </c>
    </row>
    <row r="54" spans="1:6">
      <c r="A54" s="1" t="s">
        <v>99</v>
      </c>
    </row>
    <row r="55" spans="1:6">
      <c r="A55" s="5" t="s">
        <v>100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</row>
    <row r="56" spans="1:6">
      <c r="A56" s="4">
        <v>45937.635585474498</v>
      </c>
      <c r="B56" s="1">
        <v>585</v>
      </c>
      <c r="C56" s="1">
        <v>-5.56</v>
      </c>
      <c r="D56" s="1">
        <v>-0.36799999999999999</v>
      </c>
      <c r="E56" s="1">
        <v>-99999</v>
      </c>
      <c r="F56" s="1">
        <v>20.440000000000001</v>
      </c>
    </row>
    <row r="57" spans="1:6">
      <c r="A57" s="4">
        <v>45937.635638136599</v>
      </c>
      <c r="B57" s="1">
        <v>135</v>
      </c>
      <c r="C57" s="1">
        <v>-1.01</v>
      </c>
      <c r="D57" s="1">
        <v>15.991</v>
      </c>
      <c r="E57" s="1">
        <v>-99999</v>
      </c>
      <c r="F57" s="1">
        <v>20.440000000000001</v>
      </c>
    </row>
    <row r="58" spans="1:6">
      <c r="A58" s="4">
        <v>45937.635649826399</v>
      </c>
      <c r="B58" s="1">
        <v>145</v>
      </c>
      <c r="C58" s="1">
        <v>0</v>
      </c>
      <c r="D58" s="1">
        <v>14.512</v>
      </c>
      <c r="E58" s="1">
        <v>14.512</v>
      </c>
      <c r="F58" s="1">
        <v>20.440000000000001</v>
      </c>
    </row>
    <row r="59" spans="1:6">
      <c r="A59" s="4">
        <v>45937.635663831003</v>
      </c>
      <c r="B59" s="1">
        <v>355</v>
      </c>
      <c r="C59" s="1">
        <v>1.21</v>
      </c>
      <c r="D59" s="1">
        <v>13.589</v>
      </c>
      <c r="E59" s="1">
        <v>12.943</v>
      </c>
      <c r="F59" s="1">
        <v>20.440000000000001</v>
      </c>
    </row>
    <row r="60" spans="1:6">
      <c r="A60" s="4">
        <v>45937.635682812499</v>
      </c>
      <c r="B60" s="1">
        <v>995</v>
      </c>
      <c r="C60" s="1">
        <v>2.85</v>
      </c>
      <c r="D60" s="1">
        <v>11.859</v>
      </c>
      <c r="E60" s="1">
        <v>11.066000000000001</v>
      </c>
      <c r="F60" s="1">
        <v>20.440000000000001</v>
      </c>
    </row>
    <row r="61" spans="1:6">
      <c r="A61" s="4">
        <v>45937.635701909698</v>
      </c>
      <c r="B61" s="1">
        <v>645</v>
      </c>
      <c r="C61" s="1">
        <v>4.5</v>
      </c>
      <c r="D61" s="1">
        <v>9.907</v>
      </c>
      <c r="E61" s="1">
        <v>9.4329999999999998</v>
      </c>
      <c r="F61" s="1">
        <v>20.440000000000001</v>
      </c>
    </row>
    <row r="62" spans="1:6">
      <c r="A62" s="4">
        <v>45937.635720659702</v>
      </c>
      <c r="B62" s="1">
        <v>265</v>
      </c>
      <c r="C62" s="1">
        <v>6.12</v>
      </c>
      <c r="D62" s="1">
        <v>8.5139999999999993</v>
      </c>
      <c r="E62" s="1">
        <v>8.0449999999999999</v>
      </c>
      <c r="F62" s="1">
        <v>20.440000000000001</v>
      </c>
    </row>
    <row r="63" spans="1:6">
      <c r="A63" s="4">
        <v>45937.635739872698</v>
      </c>
      <c r="B63" s="1">
        <v>925</v>
      </c>
      <c r="C63" s="1">
        <v>7.78</v>
      </c>
      <c r="D63" s="1">
        <v>7.2460000000000004</v>
      </c>
      <c r="E63" s="1">
        <v>6.8140000000000001</v>
      </c>
      <c r="F63" s="1">
        <v>20.440000000000001</v>
      </c>
    </row>
    <row r="64" spans="1:6">
      <c r="A64" s="4">
        <v>45937.635759780103</v>
      </c>
      <c r="B64" s="1">
        <v>645</v>
      </c>
      <c r="C64" s="1">
        <v>9.5</v>
      </c>
      <c r="D64" s="1">
        <v>6.1130000000000004</v>
      </c>
      <c r="E64" s="1">
        <v>5.7140000000000004</v>
      </c>
      <c r="F64" s="1">
        <v>20.440000000000001</v>
      </c>
    </row>
    <row r="65" spans="1:6">
      <c r="A65" s="4">
        <v>45937.635778993099</v>
      </c>
      <c r="B65" s="1">
        <v>305</v>
      </c>
      <c r="C65" s="1">
        <v>11.16</v>
      </c>
      <c r="D65" s="1">
        <v>5.1079999999999997</v>
      </c>
      <c r="E65" s="1">
        <v>4.8010000000000002</v>
      </c>
      <c r="F65" s="1">
        <v>20.440000000000001</v>
      </c>
    </row>
    <row r="66" spans="1:6">
      <c r="A66" s="4">
        <v>45937.635798310199</v>
      </c>
      <c r="B66" s="1">
        <v>974</v>
      </c>
      <c r="C66" s="1">
        <v>12.83</v>
      </c>
      <c r="D66" s="1">
        <v>4.0069999999999997</v>
      </c>
      <c r="E66" s="1">
        <v>4.0069999999999997</v>
      </c>
      <c r="F66" s="1">
        <v>20.440000000000001</v>
      </c>
    </row>
    <row r="67" spans="1:6">
      <c r="A67" s="4">
        <v>45937.635821215299</v>
      </c>
      <c r="B67" s="1">
        <v>953</v>
      </c>
      <c r="C67" s="1">
        <v>14.81</v>
      </c>
      <c r="D67" s="1">
        <v>3.0819999999999999</v>
      </c>
      <c r="E67" s="1">
        <v>-99999</v>
      </c>
      <c r="F67" s="1">
        <v>20.47</v>
      </c>
    </row>
    <row r="68" spans="1:6">
      <c r="A68" s="4"/>
    </row>
    <row r="69" spans="1:6">
      <c r="A69" s="4"/>
    </row>
    <row r="70" spans="1:6">
      <c r="A70" s="4"/>
    </row>
    <row r="71" spans="1:6">
      <c r="A71" s="4"/>
    </row>
    <row r="72" spans="1:6">
      <c r="A72" s="4"/>
    </row>
    <row r="73" spans="1:6">
      <c r="A73" s="4"/>
    </row>
    <row r="74" spans="1:6">
      <c r="A74" s="4"/>
    </row>
    <row r="75" spans="1:6">
      <c r="A75" s="4"/>
    </row>
    <row r="76" spans="1:6">
      <c r="A76" s="4"/>
    </row>
    <row r="77" spans="1:6">
      <c r="A77" s="4"/>
    </row>
    <row r="78" spans="1:6">
      <c r="A78" s="4"/>
    </row>
    <row r="79" spans="1:6">
      <c r="A79" s="4"/>
    </row>
    <row r="80" spans="1:6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F7357-0114-4736-8E54-114E2F454088}"/>
</file>

<file path=customXml/itemProps2.xml><?xml version="1.0" encoding="utf-8"?>
<ds:datastoreItem xmlns:ds="http://schemas.openxmlformats.org/officeDocument/2006/customXml" ds:itemID="{09C24C62-9826-424C-B7F1-A2EDCEEE8B3B}"/>
</file>

<file path=customXml/itemProps3.xml><?xml version="1.0" encoding="utf-8"?>
<ds:datastoreItem xmlns:ds="http://schemas.openxmlformats.org/officeDocument/2006/customXml" ds:itemID="{46F283A2-A145-4E1B-B233-678AB44C2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Garcia, Marci R</cp:lastModifiedBy>
  <cp:revision/>
  <dcterms:created xsi:type="dcterms:W3CDTF">2017-12-12T14:35:01Z</dcterms:created>
  <dcterms:modified xsi:type="dcterms:W3CDTF">2026-01-07T19:39:15Z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
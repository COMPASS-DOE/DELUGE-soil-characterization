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pate212/GitHub/DELUGE-soil-characterization/1-data/KSAT/"/>
    </mc:Choice>
  </mc:AlternateContent>
  <xr:revisionPtr revIDLastSave="0" documentId="13_ncr:1_{2DD567CE-26BB-47FA-B793-D569F59C7A56}" xr6:coauthVersionLast="47" xr6:coauthVersionMax="47" xr10:uidLastSave="{00000000-0000-0000-0000-000000000000}"/>
  <bookViews>
    <workbookView xWindow="4140" yWindow="1540" windowWidth="21600" windowHeight="13440" xr2:uid="{00000000-000D-0000-FFFF-FFFF00000000}"/>
  </bookViews>
  <sheets>
    <sheet name="KSAT_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1" i="1" l="1"/>
  <c r="A52" i="1"/>
</calcChain>
</file>

<file path=xl/sharedStrings.xml><?xml version="1.0" encoding="utf-8"?>
<sst xmlns="http://schemas.openxmlformats.org/spreadsheetml/2006/main" count="107" uniqueCount="107">
  <si>
    <t>KSAT</t>
  </si>
  <si>
    <t>CulturInfo</t>
  </si>
  <si>
    <t>en-US</t>
  </si>
  <si>
    <t>Software Version</t>
  </si>
  <si>
    <t>1.6.5</t>
  </si>
  <si>
    <t>Firmware Version</t>
  </si>
  <si>
    <t>1.5</t>
  </si>
  <si>
    <t>Last setting of the zero point</t>
  </si>
  <si>
    <t>40909</t>
  </si>
  <si>
    <t>Serial Number</t>
  </si>
  <si>
    <t>0424</t>
  </si>
  <si>
    <t>File name</t>
  </si>
  <si>
    <t>KSAT_measurement_F1-BD-B3_003</t>
  </si>
  <si>
    <t>Additional comments</t>
  </si>
  <si>
    <t>MEASUREMENT</t>
  </si>
  <si>
    <t>Mode</t>
  </si>
  <si>
    <t>FallingHead</t>
  </si>
  <si>
    <t>Sample rate [s]</t>
  </si>
  <si>
    <t>Auto</t>
  </si>
  <si>
    <t>Crown type</t>
  </si>
  <si>
    <t>FilterPlateCrown</t>
  </si>
  <si>
    <t>Use Synthetic Data</t>
  </si>
  <si>
    <t>PARAMETERS</t>
  </si>
  <si>
    <t>OPERATION PARAMETERS</t>
  </si>
  <si>
    <t>H_end_abs [cm]</t>
  </si>
  <si>
    <t>Hydraulic head difference at stop of measurement</t>
  </si>
  <si>
    <t>H_end_rel [-]</t>
  </si>
  <si>
    <t>0.25</t>
  </si>
  <si>
    <t>Relative hydraulic head (with respect to initial pressure head) to stop measurement</t>
  </si>
  <si>
    <t>dH_min [cm]</t>
  </si>
  <si>
    <t>0.1</t>
  </si>
  <si>
    <t>Minimum hydraulic head difference for two successive readings</t>
  </si>
  <si>
    <t>dH_ini [cm]</t>
  </si>
  <si>
    <t>Required hydraulic head increase between two readings to trigger automatic start of measurement campaign</t>
  </si>
  <si>
    <t>GEOMETRY PARAMETERS</t>
  </si>
  <si>
    <t>A_bur1 [cm²]</t>
  </si>
  <si>
    <t>4.524</t>
  </si>
  <si>
    <t>Standard burette cross-sectional area</t>
  </si>
  <si>
    <t>A_cap_in [cm²]</t>
  </si>
  <si>
    <t>0.075</t>
  </si>
  <si>
    <t>Burette extension internal cross-sectional area</t>
  </si>
  <si>
    <t>A_sample  [cm²]</t>
  </si>
  <si>
    <t>Sample cross-sectional area</t>
  </si>
  <si>
    <t>L_bur [cm]</t>
  </si>
  <si>
    <t>Standard burette length</t>
  </si>
  <si>
    <t>L_sample [cm]</t>
  </si>
  <si>
    <t>Height of soil sample</t>
  </si>
  <si>
    <t>L_plate_Bottom [cm]</t>
  </si>
  <si>
    <t>0.8</t>
  </si>
  <si>
    <t>Bottom porous plate height</t>
  </si>
  <si>
    <t>L_plate_Top [cm]</t>
  </si>
  <si>
    <t>0.3</t>
  </si>
  <si>
    <t>Upper porous plate height</t>
  </si>
  <si>
    <t>EVALUATION PARAMETERS</t>
  </si>
  <si>
    <t>T_ref [°C]</t>
  </si>
  <si>
    <t>Reference temperature for K calculations</t>
  </si>
  <si>
    <t>K_plate [cm/d]</t>
  </si>
  <si>
    <t>Porous plate conductivity</t>
  </si>
  <si>
    <t>Use Auto-Offset</t>
  </si>
  <si>
    <t>Use auto offset correction for measured hydraulic head</t>
  </si>
  <si>
    <t>Max Auto-Offset [cm]</t>
  </si>
  <si>
    <t>Max. value for auto offset correction</t>
  </si>
  <si>
    <t>Trigger Auto-Offset [cm]</t>
  </si>
  <si>
    <t>Hydraulic head change after auto offset correction becomes active</t>
  </si>
  <si>
    <t>Start of measurement</t>
  </si>
  <si>
    <t>11/6/2025 10:11:08 AM</t>
  </si>
  <si>
    <t>Test duration</t>
  </si>
  <si>
    <t>00:43:31</t>
  </si>
  <si>
    <t>RESULT</t>
  </si>
  <si>
    <t>Use auto offset adjustment</t>
  </si>
  <si>
    <t>Max offset adjustment [cm]</t>
  </si>
  <si>
    <t>1</t>
  </si>
  <si>
    <t>Fitting Parameter a [cm]</t>
  </si>
  <si>
    <t>17.64</t>
  </si>
  <si>
    <t>coefficient a of the fitted exponential pressure head decrease function y = a * exp(-b*t)+c, where y is the pressure head in cm and t is time in s</t>
  </si>
  <si>
    <t>Fitting Parameter b [s-1]</t>
  </si>
  <si>
    <t>-3.69E-04</t>
  </si>
  <si>
    <t>coefficient b of the fitted exponential pressure head decrease function y = a * exp(-b*t)+c, where y is the pressure head in cm and t is time in s</t>
  </si>
  <si>
    <t>Fitting Parameter c [cm]</t>
  </si>
  <si>
    <t>-1</t>
  </si>
  <si>
    <t>coefficient c of the fitted exponential pressure head decrease function y = a * exp(-b*t)+c, where y is the pressure head in cm and t is time in s</t>
  </si>
  <si>
    <t>Fitting Parameter r2 [-]</t>
  </si>
  <si>
    <t>1.0000</t>
  </si>
  <si>
    <t>coefficient of determination of the exponential pressure head decrease function that is fitted to the observed data</t>
  </si>
  <si>
    <t>Ks Total [cm/d]</t>
  </si>
  <si>
    <t>45.632</t>
  </si>
  <si>
    <t>Saturated hydraulic conductivity [cm/d] of the entire system</t>
  </si>
  <si>
    <t>Ks Total [m/s]</t>
  </si>
  <si>
    <t>5.31E-06</t>
  </si>
  <si>
    <t>Saturated hydraulic conductivity [m/s] of the entire system</t>
  </si>
  <si>
    <t>Ks Soil [cm/d]</t>
  </si>
  <si>
    <t>37.558</t>
  </si>
  <si>
    <t>Saturated hydraulic conductivity [cm/d] of the soil sample itself</t>
  </si>
  <si>
    <t>Ks Soil [m/s]</t>
  </si>
  <si>
    <t>4.37E-06</t>
  </si>
  <si>
    <t>Saturated hydraulic conductivity [m/s] of the soil sample itself</t>
  </si>
  <si>
    <t>36.934</t>
  </si>
  <si>
    <t>Saturated hydraulic conductivity [cm/d] of the soil sample  normalized to 10 °C mean field temperature</t>
  </si>
  <si>
    <t>4.29E-06</t>
  </si>
  <si>
    <t>Saturated hydraulic conductivity [m/s] of the soil sample  normalized to 10 °C mean field temperature</t>
  </si>
  <si>
    <t>DATA</t>
  </si>
  <si>
    <t>Date/Time</t>
  </si>
  <si>
    <t>Runtime [ms]</t>
  </si>
  <si>
    <t>Runtime [s]</t>
  </si>
  <si>
    <t>Pressure Head [cm]</t>
  </si>
  <si>
    <t>Fitting [cm]</t>
  </si>
  <si>
    <t>Temperature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</si>
</sst>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Border="0"/>
  </cellStyleXfs>
  <cellXfs count="7">
    <xf numFmtId="0" fontId="0" fillId="0" borderId="0" xfId="0"/>
    <xf numFmtId="22" fontId="0" fillId="0" borderId="0" xfId="0" applyNumberFormat="1"/>
    <xf numFmtId="21" fontId="0" fillId="0" borderId="0" xfId="0" applyNumberFormat="1"/>
    <xf numFmtId="11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4"/>
  <sheetViews>
    <sheetView tabSelected="1" workbookViewId="0">
      <selection activeCell="A5" sqref="A5"/>
    </sheetView>
  </sheetViews>
  <sheetFormatPr baseColWidth="10" defaultRowHeight="15" x14ac:dyDescent="0.2"/>
  <cols>
    <col min="1" max="1" width="39.6640625" customWidth="1"/>
    <col min="2" max="2" width="27" bestFit="1" customWidth="1"/>
    <col min="3" max="3" width="31.83203125" bestFit="1" customWidth="1"/>
    <col min="4" max="4" width="18.33203125" bestFit="1" customWidth="1"/>
    <col min="5" max="5" width="11.1640625" bestFit="1" customWidth="1"/>
    <col min="6" max="6" width="16.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s="5" t="s">
        <v>4</v>
      </c>
    </row>
    <row r="4" spans="1:2" x14ac:dyDescent="0.2">
      <c r="A4" t="s">
        <v>5</v>
      </c>
      <c r="B4" s="5" t="s">
        <v>6</v>
      </c>
    </row>
    <row r="5" spans="1:2" x14ac:dyDescent="0.2">
      <c r="A5" t="s">
        <v>7</v>
      </c>
      <c r="B5" s="6" t="s">
        <v>8</v>
      </c>
    </row>
    <row r="6" spans="1:2" x14ac:dyDescent="0.2">
      <c r="A6" t="s">
        <v>9</v>
      </c>
      <c r="B6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</row>
    <row r="11" spans="1:2" x14ac:dyDescent="0.2">
      <c r="A11" t="s">
        <v>14</v>
      </c>
    </row>
    <row r="12" spans="1:2" x14ac:dyDescent="0.2">
      <c r="A12" t="s">
        <v>15</v>
      </c>
      <c r="B12" t="s">
        <v>16</v>
      </c>
    </row>
    <row r="13" spans="1:2" x14ac:dyDescent="0.2">
      <c r="A13" t="s">
        <v>17</v>
      </c>
      <c r="B13" t="s">
        <v>18</v>
      </c>
    </row>
    <row r="14" spans="1:2" x14ac:dyDescent="0.2">
      <c r="A14" t="s">
        <v>19</v>
      </c>
      <c r="B14" t="s">
        <v>20</v>
      </c>
    </row>
    <row r="15" spans="1:2" x14ac:dyDescent="0.2">
      <c r="A15" t="s">
        <v>21</v>
      </c>
      <c r="B15" t="b">
        <v>0</v>
      </c>
    </row>
    <row r="17" spans="1:3" x14ac:dyDescent="0.2">
      <c r="A17" t="s">
        <v>22</v>
      </c>
    </row>
    <row r="18" spans="1:3" x14ac:dyDescent="0.2">
      <c r="A18" t="s">
        <v>23</v>
      </c>
    </row>
    <row r="19" spans="1:3" x14ac:dyDescent="0.2">
      <c r="A19" t="s">
        <v>24</v>
      </c>
      <c r="B19">
        <v>0.5</v>
      </c>
      <c r="C19" t="s">
        <v>25</v>
      </c>
    </row>
    <row r="20" spans="1:3" x14ac:dyDescent="0.2">
      <c r="A20" t="s">
        <v>26</v>
      </c>
      <c r="B20" t="s">
        <v>27</v>
      </c>
      <c r="C20" t="s">
        <v>28</v>
      </c>
    </row>
    <row r="21" spans="1:3" x14ac:dyDescent="0.2">
      <c r="A21" t="s">
        <v>29</v>
      </c>
      <c r="B21" t="s">
        <v>30</v>
      </c>
      <c r="C21" t="s">
        <v>31</v>
      </c>
    </row>
    <row r="22" spans="1:3" x14ac:dyDescent="0.2">
      <c r="A22" t="s">
        <v>32</v>
      </c>
      <c r="B22">
        <v>1</v>
      </c>
      <c r="C22" t="s">
        <v>33</v>
      </c>
    </row>
    <row r="23" spans="1:3" x14ac:dyDescent="0.2">
      <c r="A23" t="s">
        <v>34</v>
      </c>
    </row>
    <row r="24" spans="1:3" x14ac:dyDescent="0.2">
      <c r="A24" t="s">
        <v>35</v>
      </c>
      <c r="B24" t="s">
        <v>36</v>
      </c>
      <c r="C24" t="s">
        <v>37</v>
      </c>
    </row>
    <row r="25" spans="1:3" x14ac:dyDescent="0.2">
      <c r="A25" t="s">
        <v>38</v>
      </c>
      <c r="B25" t="s">
        <v>39</v>
      </c>
      <c r="C25" t="s">
        <v>40</v>
      </c>
    </row>
    <row r="26" spans="1:3" x14ac:dyDescent="0.2">
      <c r="A26" t="s">
        <v>41</v>
      </c>
      <c r="B26">
        <v>19.600000381469702</v>
      </c>
      <c r="C26" t="s">
        <v>42</v>
      </c>
    </row>
    <row r="27" spans="1:3" x14ac:dyDescent="0.2">
      <c r="A27" t="s">
        <v>43</v>
      </c>
      <c r="B27">
        <v>22.5</v>
      </c>
      <c r="C27" t="s">
        <v>44</v>
      </c>
    </row>
    <row r="28" spans="1:3" x14ac:dyDescent="0.2">
      <c r="A28" t="s">
        <v>45</v>
      </c>
      <c r="B28">
        <v>5.0999999046325701</v>
      </c>
      <c r="C28" t="s">
        <v>46</v>
      </c>
    </row>
    <row r="29" spans="1:3" x14ac:dyDescent="0.2">
      <c r="A29" t="s">
        <v>47</v>
      </c>
      <c r="B29" t="s">
        <v>48</v>
      </c>
      <c r="C29" t="s">
        <v>49</v>
      </c>
    </row>
    <row r="30" spans="1:3" x14ac:dyDescent="0.2">
      <c r="A30" t="s">
        <v>50</v>
      </c>
      <c r="B30" t="s">
        <v>51</v>
      </c>
      <c r="C30" t="s">
        <v>52</v>
      </c>
    </row>
    <row r="31" spans="1:3" x14ac:dyDescent="0.2">
      <c r="A31" t="s">
        <v>53</v>
      </c>
    </row>
    <row r="32" spans="1:3" x14ac:dyDescent="0.2">
      <c r="A32" t="s">
        <v>54</v>
      </c>
      <c r="B32">
        <v>20</v>
      </c>
      <c r="C32" t="s">
        <v>55</v>
      </c>
    </row>
    <row r="33" spans="1:3" x14ac:dyDescent="0.2">
      <c r="A33" t="s">
        <v>56</v>
      </c>
      <c r="B33">
        <v>14000</v>
      </c>
      <c r="C33" t="s">
        <v>57</v>
      </c>
    </row>
    <row r="34" spans="1:3" x14ac:dyDescent="0.2">
      <c r="A34" t="s">
        <v>58</v>
      </c>
      <c r="B34" t="b">
        <v>1</v>
      </c>
      <c r="C34" t="s">
        <v>59</v>
      </c>
    </row>
    <row r="35" spans="1:3" x14ac:dyDescent="0.2">
      <c r="A35" t="s">
        <v>60</v>
      </c>
      <c r="B35">
        <v>1</v>
      </c>
      <c r="C35" t="s">
        <v>61</v>
      </c>
    </row>
    <row r="36" spans="1:3" x14ac:dyDescent="0.2">
      <c r="A36" t="s">
        <v>62</v>
      </c>
      <c r="B36">
        <v>1</v>
      </c>
      <c r="C36" t="s">
        <v>63</v>
      </c>
    </row>
    <row r="37" spans="1:3" x14ac:dyDescent="0.2">
      <c r="A37" t="s">
        <v>64</v>
      </c>
      <c r="B37" s="1" t="s">
        <v>65</v>
      </c>
    </row>
    <row r="38" spans="1:3" x14ac:dyDescent="0.2">
      <c r="A38" t="s">
        <v>66</v>
      </c>
      <c r="B38" s="2" t="s">
        <v>67</v>
      </c>
    </row>
    <row r="40" spans="1:3" x14ac:dyDescent="0.2">
      <c r="A40" t="s">
        <v>68</v>
      </c>
    </row>
    <row r="41" spans="1:3" x14ac:dyDescent="0.2">
      <c r="A41" t="s">
        <v>69</v>
      </c>
      <c r="B41" t="b">
        <v>1</v>
      </c>
    </row>
    <row r="42" spans="1:3" x14ac:dyDescent="0.2">
      <c r="A42" t="s">
        <v>70</v>
      </c>
      <c r="B42" t="s">
        <v>71</v>
      </c>
    </row>
    <row r="43" spans="1:3" x14ac:dyDescent="0.2">
      <c r="A43" t="s">
        <v>72</v>
      </c>
      <c r="B43" t="s">
        <v>73</v>
      </c>
      <c r="C43" t="s">
        <v>74</v>
      </c>
    </row>
    <row r="44" spans="1:3" x14ac:dyDescent="0.2">
      <c r="A44" t="s">
        <v>75</v>
      </c>
      <c r="B44" s="3" t="s">
        <v>76</v>
      </c>
      <c r="C44" s="3" t="s">
        <v>77</v>
      </c>
    </row>
    <row r="45" spans="1:3" x14ac:dyDescent="0.2">
      <c r="A45" t="s">
        <v>78</v>
      </c>
      <c r="B45" t="s">
        <v>79</v>
      </c>
      <c r="C45" t="s">
        <v>80</v>
      </c>
    </row>
    <row r="46" spans="1:3" x14ac:dyDescent="0.2">
      <c r="A46" t="s">
        <v>81</v>
      </c>
      <c r="B46" t="s">
        <v>82</v>
      </c>
      <c r="C46" t="s">
        <v>83</v>
      </c>
    </row>
    <row r="47" spans="1:3" x14ac:dyDescent="0.2">
      <c r="A47" t="s">
        <v>84</v>
      </c>
      <c r="B47" t="s">
        <v>85</v>
      </c>
      <c r="C47" t="s">
        <v>86</v>
      </c>
    </row>
    <row r="48" spans="1:3" x14ac:dyDescent="0.2">
      <c r="A48" t="s">
        <v>87</v>
      </c>
      <c r="B48" s="3" t="s">
        <v>88</v>
      </c>
      <c r="C48" s="3" t="s">
        <v>89</v>
      </c>
    </row>
    <row r="49" spans="1:6" x14ac:dyDescent="0.2">
      <c r="A49" t="s">
        <v>90</v>
      </c>
      <c r="B49" t="s">
        <v>91</v>
      </c>
      <c r="C49" t="s">
        <v>92</v>
      </c>
    </row>
    <row r="50" spans="1:6" x14ac:dyDescent="0.2">
      <c r="A50" t="s">
        <v>93</v>
      </c>
      <c r="B50" s="3" t="s">
        <v>94</v>
      </c>
      <c r="C50" s="3" t="s">
        <v>95</v>
      </c>
    </row>
    <row r="51" spans="1:6" x14ac:dyDescent="0.2">
      <c r="A51" t="str">
        <f>CONCATENATE("Ks Soil normalized at ",B32," °C [cm/d]")</f>
        <v>Ks Soil normalized at 20 °C [cm/d]</v>
      </c>
      <c r="B51" t="s">
        <v>96</v>
      </c>
      <c r="C51" t="s">
        <v>97</v>
      </c>
    </row>
    <row r="52" spans="1:6" x14ac:dyDescent="0.2">
      <c r="A52" t="str">
        <f>CONCATENATE("Ks Soil normalized at ",B32," °C [m/s]")</f>
        <v>Ks Soil normalized at 20 °C [m/s]</v>
      </c>
      <c r="B52" s="3" t="s">
        <v>98</v>
      </c>
      <c r="C52" s="3" t="s">
        <v>99</v>
      </c>
    </row>
    <row r="54" spans="1:6" x14ac:dyDescent="0.2">
      <c r="A54" t="s">
        <v>100</v>
      </c>
    </row>
    <row r="55" spans="1:6" x14ac:dyDescent="0.2">
      <c r="A55" s="1" t="s">
        <v>101</v>
      </c>
      <c r="B55" t="s">
        <v>102</v>
      </c>
      <c r="C55" t="s">
        <v>103</v>
      </c>
      <c r="D55" t="s">
        <v>104</v>
      </c>
      <c r="E55" t="s">
        <v>105</v>
      </c>
      <c r="F55" t="s">
        <v>106</v>
      </c>
    </row>
    <row r="56" spans="1:6" x14ac:dyDescent="0.2">
      <c r="A56" s="4">
        <v>45967.424400439799</v>
      </c>
      <c r="B56">
        <v>198</v>
      </c>
      <c r="C56">
        <v>0</v>
      </c>
      <c r="D56">
        <v>18.641999999999999</v>
      </c>
      <c r="E56">
        <v>18.641999999999999</v>
      </c>
      <c r="F56">
        <v>20.69</v>
      </c>
    </row>
    <row r="57" spans="1:6" x14ac:dyDescent="0.2">
      <c r="A57" s="4">
        <v>45967.4244575579</v>
      </c>
      <c r="B57">
        <v>133</v>
      </c>
      <c r="C57">
        <v>4.9400000000000004</v>
      </c>
      <c r="D57">
        <v>18.591000000000001</v>
      </c>
      <c r="E57">
        <v>18.61</v>
      </c>
      <c r="F57">
        <v>20.69</v>
      </c>
    </row>
    <row r="58" spans="1:6" x14ac:dyDescent="0.2">
      <c r="A58" s="4">
        <v>45967.424468669</v>
      </c>
      <c r="B58">
        <v>93</v>
      </c>
      <c r="C58">
        <v>5.89</v>
      </c>
      <c r="D58">
        <v>18.582000000000001</v>
      </c>
      <c r="E58">
        <v>18.603999999999999</v>
      </c>
      <c r="F58">
        <v>20.69</v>
      </c>
    </row>
    <row r="59" spans="1:6" x14ac:dyDescent="0.2">
      <c r="A59" s="4">
        <v>45967.424625856504</v>
      </c>
      <c r="B59">
        <v>674</v>
      </c>
      <c r="C59">
        <v>19.48</v>
      </c>
      <c r="D59">
        <v>18.477</v>
      </c>
      <c r="E59">
        <v>18.515999999999998</v>
      </c>
      <c r="F59">
        <v>20.69</v>
      </c>
    </row>
    <row r="60" spans="1:6" x14ac:dyDescent="0.2">
      <c r="A60" s="4">
        <v>45967.424809097203</v>
      </c>
      <c r="B60">
        <v>506</v>
      </c>
      <c r="C60">
        <v>35.31</v>
      </c>
      <c r="D60">
        <v>18.372</v>
      </c>
      <c r="E60">
        <v>18.414000000000001</v>
      </c>
      <c r="F60">
        <v>20.69</v>
      </c>
    </row>
    <row r="61" spans="1:6" x14ac:dyDescent="0.2">
      <c r="A61" s="4">
        <v>45967.424992222201</v>
      </c>
      <c r="B61">
        <v>328</v>
      </c>
      <c r="C61">
        <v>51.13</v>
      </c>
      <c r="D61">
        <v>18.266999999999999</v>
      </c>
      <c r="E61">
        <v>18.312000000000001</v>
      </c>
      <c r="F61">
        <v>20.69</v>
      </c>
    </row>
    <row r="62" spans="1:6" x14ac:dyDescent="0.2">
      <c r="A62" s="4">
        <v>45967.4251538194</v>
      </c>
      <c r="B62">
        <v>290</v>
      </c>
      <c r="C62">
        <v>65.09</v>
      </c>
      <c r="D62">
        <v>18.167000000000002</v>
      </c>
      <c r="E62">
        <v>18.222999999999999</v>
      </c>
      <c r="F62">
        <v>20.69</v>
      </c>
    </row>
    <row r="63" spans="1:6" x14ac:dyDescent="0.2">
      <c r="A63" s="4">
        <v>45967.4253477315</v>
      </c>
      <c r="B63">
        <v>44</v>
      </c>
      <c r="C63">
        <v>81.849999999999994</v>
      </c>
      <c r="D63">
        <v>18.067</v>
      </c>
      <c r="E63">
        <v>18.117000000000001</v>
      </c>
      <c r="F63">
        <v>20.68</v>
      </c>
    </row>
    <row r="64" spans="1:6" x14ac:dyDescent="0.2">
      <c r="A64" s="4">
        <v>45967.425531666697</v>
      </c>
      <c r="B64">
        <v>936</v>
      </c>
      <c r="C64">
        <v>97.74</v>
      </c>
      <c r="D64">
        <v>17.963999999999999</v>
      </c>
      <c r="E64">
        <v>18.016999999999999</v>
      </c>
      <c r="F64">
        <v>20.68</v>
      </c>
    </row>
    <row r="65" spans="1:6" x14ac:dyDescent="0.2">
      <c r="A65" s="4">
        <v>45967.425693009303</v>
      </c>
      <c r="B65">
        <v>876</v>
      </c>
      <c r="C65">
        <v>111.68</v>
      </c>
      <c r="D65">
        <v>17.861999999999998</v>
      </c>
      <c r="E65">
        <v>17.93</v>
      </c>
      <c r="F65">
        <v>20.68</v>
      </c>
    </row>
    <row r="66" spans="1:6" x14ac:dyDescent="0.2">
      <c r="A66" s="4">
        <v>45967.425866423597</v>
      </c>
      <c r="B66">
        <v>859</v>
      </c>
      <c r="C66">
        <v>126.66</v>
      </c>
      <c r="D66">
        <v>17.757999999999999</v>
      </c>
      <c r="E66">
        <v>17.835999999999999</v>
      </c>
      <c r="F66">
        <v>20.68</v>
      </c>
    </row>
    <row r="67" spans="1:6" x14ac:dyDescent="0.2">
      <c r="A67" s="4">
        <v>45967.426082615697</v>
      </c>
      <c r="B67">
        <v>538</v>
      </c>
      <c r="C67">
        <v>145.34</v>
      </c>
      <c r="D67">
        <v>17.655999999999999</v>
      </c>
      <c r="E67">
        <v>17.721</v>
      </c>
      <c r="F67">
        <v>20.68</v>
      </c>
    </row>
    <row r="68" spans="1:6" x14ac:dyDescent="0.2">
      <c r="A68" s="4">
        <v>45967.426266319402</v>
      </c>
      <c r="B68">
        <v>410</v>
      </c>
      <c r="C68">
        <v>161.21</v>
      </c>
      <c r="D68">
        <v>17.552</v>
      </c>
      <c r="E68">
        <v>17.623000000000001</v>
      </c>
      <c r="F68">
        <v>20.69</v>
      </c>
    </row>
    <row r="69" spans="1:6" x14ac:dyDescent="0.2">
      <c r="A69" s="4">
        <v>45967.426461018498</v>
      </c>
      <c r="B69">
        <v>232</v>
      </c>
      <c r="C69">
        <v>178.03</v>
      </c>
      <c r="D69">
        <v>17.443000000000001</v>
      </c>
      <c r="E69">
        <v>17.52</v>
      </c>
      <c r="F69">
        <v>20.7</v>
      </c>
    </row>
    <row r="70" spans="1:6" x14ac:dyDescent="0.2">
      <c r="A70" s="4">
        <v>45967.426667280102</v>
      </c>
      <c r="B70">
        <v>53</v>
      </c>
      <c r="C70">
        <v>195.86</v>
      </c>
      <c r="D70">
        <v>17.341000000000001</v>
      </c>
      <c r="E70">
        <v>17.411999999999999</v>
      </c>
      <c r="F70">
        <v>20.69</v>
      </c>
    </row>
    <row r="71" spans="1:6" x14ac:dyDescent="0.2">
      <c r="A71" s="4">
        <v>45967.426851678203</v>
      </c>
      <c r="B71">
        <v>985</v>
      </c>
      <c r="C71">
        <v>211.79</v>
      </c>
      <c r="D71">
        <v>17.239000000000001</v>
      </c>
      <c r="E71">
        <v>17.315999999999999</v>
      </c>
      <c r="F71">
        <v>20.69</v>
      </c>
    </row>
    <row r="72" spans="1:6" x14ac:dyDescent="0.2">
      <c r="A72" s="4">
        <v>45967.427057314802</v>
      </c>
      <c r="B72">
        <v>752</v>
      </c>
      <c r="C72">
        <v>229.55</v>
      </c>
      <c r="D72">
        <v>17.137</v>
      </c>
      <c r="E72">
        <v>17.209</v>
      </c>
      <c r="F72">
        <v>20.69</v>
      </c>
    </row>
    <row r="73" spans="1:6" x14ac:dyDescent="0.2">
      <c r="A73" s="4">
        <v>45967.427262500001</v>
      </c>
      <c r="B73">
        <v>480</v>
      </c>
      <c r="C73">
        <v>247.28</v>
      </c>
      <c r="D73">
        <v>17.032</v>
      </c>
      <c r="E73">
        <v>17.103000000000002</v>
      </c>
      <c r="F73">
        <v>20.69</v>
      </c>
    </row>
    <row r="74" spans="1:6" x14ac:dyDescent="0.2">
      <c r="A74" s="4">
        <v>45967.427428044</v>
      </c>
      <c r="B74">
        <v>783</v>
      </c>
      <c r="C74">
        <v>261.58</v>
      </c>
      <c r="D74">
        <v>16.925999999999998</v>
      </c>
      <c r="E74">
        <v>17.018000000000001</v>
      </c>
      <c r="F74">
        <v>20.69</v>
      </c>
    </row>
    <row r="75" spans="1:6" x14ac:dyDescent="0.2">
      <c r="A75" s="4">
        <v>45967.427666249998</v>
      </c>
      <c r="B75">
        <v>364</v>
      </c>
      <c r="C75">
        <v>282.17</v>
      </c>
      <c r="D75">
        <v>16.824999999999999</v>
      </c>
      <c r="E75">
        <v>16.896999999999998</v>
      </c>
      <c r="F75">
        <v>20.69</v>
      </c>
    </row>
    <row r="76" spans="1:6" x14ac:dyDescent="0.2">
      <c r="A76" s="4">
        <v>45967.427850057902</v>
      </c>
      <c r="B76">
        <v>245</v>
      </c>
      <c r="C76">
        <v>298.05</v>
      </c>
      <c r="D76">
        <v>16.724</v>
      </c>
      <c r="E76">
        <v>16.803999999999998</v>
      </c>
      <c r="F76">
        <v>20.69</v>
      </c>
    </row>
    <row r="77" spans="1:6" x14ac:dyDescent="0.2">
      <c r="A77" s="4">
        <v>45967.428087928201</v>
      </c>
      <c r="B77">
        <v>797</v>
      </c>
      <c r="C77">
        <v>318.60000000000002</v>
      </c>
      <c r="D77">
        <v>16.62</v>
      </c>
      <c r="E77">
        <v>16.684999999999999</v>
      </c>
      <c r="F77">
        <v>20.69</v>
      </c>
    </row>
    <row r="78" spans="1:6" x14ac:dyDescent="0.2">
      <c r="A78" s="4">
        <v>45967.428293391204</v>
      </c>
      <c r="B78">
        <v>549</v>
      </c>
      <c r="C78">
        <v>336.35</v>
      </c>
      <c r="D78">
        <v>16.52</v>
      </c>
      <c r="E78">
        <v>16.582000000000001</v>
      </c>
      <c r="F78">
        <v>20.69</v>
      </c>
    </row>
    <row r="79" spans="1:6" x14ac:dyDescent="0.2">
      <c r="A79" s="4">
        <v>45967.428487986101</v>
      </c>
      <c r="B79">
        <v>362</v>
      </c>
      <c r="C79">
        <v>353.16</v>
      </c>
      <c r="D79">
        <v>16.419</v>
      </c>
      <c r="E79">
        <v>16.486000000000001</v>
      </c>
      <c r="F79">
        <v>20.69</v>
      </c>
    </row>
    <row r="80" spans="1:6" x14ac:dyDescent="0.2">
      <c r="A80" s="4">
        <v>45967.428693761598</v>
      </c>
      <c r="B80">
        <v>141</v>
      </c>
      <c r="C80">
        <v>370.94</v>
      </c>
      <c r="D80">
        <v>16.315999999999999</v>
      </c>
      <c r="E80">
        <v>16.385000000000002</v>
      </c>
      <c r="F80">
        <v>20.69</v>
      </c>
    </row>
    <row r="81" spans="1:6" x14ac:dyDescent="0.2">
      <c r="A81" s="4">
        <v>45967.4289100694</v>
      </c>
      <c r="B81">
        <v>830</v>
      </c>
      <c r="C81">
        <v>389.63</v>
      </c>
      <c r="D81">
        <v>16.213000000000001</v>
      </c>
      <c r="E81">
        <v>16.279</v>
      </c>
      <c r="F81">
        <v>20.69</v>
      </c>
    </row>
    <row r="82" spans="1:6" x14ac:dyDescent="0.2">
      <c r="A82" s="4">
        <v>45967.429117326399</v>
      </c>
      <c r="B82">
        <v>737</v>
      </c>
      <c r="C82">
        <v>407.54</v>
      </c>
      <c r="D82">
        <v>16.106999999999999</v>
      </c>
      <c r="E82">
        <v>16.178000000000001</v>
      </c>
      <c r="F82">
        <v>20.69</v>
      </c>
    </row>
    <row r="83" spans="1:6" x14ac:dyDescent="0.2">
      <c r="A83" s="4">
        <v>45967.429333449101</v>
      </c>
      <c r="B83">
        <v>410</v>
      </c>
      <c r="C83">
        <v>426.21</v>
      </c>
      <c r="D83">
        <v>16.007000000000001</v>
      </c>
      <c r="E83">
        <v>16.074000000000002</v>
      </c>
      <c r="F83">
        <v>20.69</v>
      </c>
    </row>
    <row r="84" spans="1:6" x14ac:dyDescent="0.2">
      <c r="A84" s="4">
        <v>45967.429549849498</v>
      </c>
      <c r="B84">
        <v>107</v>
      </c>
      <c r="C84">
        <v>444.91</v>
      </c>
      <c r="D84">
        <v>15.904999999999999</v>
      </c>
      <c r="E84">
        <v>15.971</v>
      </c>
      <c r="F84">
        <v>20.69</v>
      </c>
    </row>
    <row r="85" spans="1:6" x14ac:dyDescent="0.2">
      <c r="A85" s="4">
        <v>45967.429776365701</v>
      </c>
      <c r="B85">
        <v>678</v>
      </c>
      <c r="C85">
        <v>464.48</v>
      </c>
      <c r="D85">
        <v>15.802</v>
      </c>
      <c r="E85">
        <v>15.863</v>
      </c>
      <c r="F85">
        <v>20.7</v>
      </c>
    </row>
    <row r="86" spans="1:6" x14ac:dyDescent="0.2">
      <c r="A86" s="4">
        <v>45967.430014259298</v>
      </c>
      <c r="B86">
        <v>232</v>
      </c>
      <c r="C86">
        <v>485.03</v>
      </c>
      <c r="D86">
        <v>15.701000000000001</v>
      </c>
      <c r="E86">
        <v>15.75</v>
      </c>
      <c r="F86">
        <v>20.7</v>
      </c>
    </row>
    <row r="87" spans="1:6" x14ac:dyDescent="0.2">
      <c r="A87" s="4">
        <v>45967.430219467598</v>
      </c>
      <c r="B87">
        <v>962</v>
      </c>
      <c r="C87">
        <v>502.76</v>
      </c>
      <c r="D87">
        <v>15.599</v>
      </c>
      <c r="E87">
        <v>15.654</v>
      </c>
      <c r="F87">
        <v>20.69</v>
      </c>
    </row>
    <row r="88" spans="1:6" x14ac:dyDescent="0.2">
      <c r="A88" s="4">
        <v>45967.4304469329</v>
      </c>
      <c r="B88">
        <v>615</v>
      </c>
      <c r="C88">
        <v>522.41999999999996</v>
      </c>
      <c r="D88">
        <v>15.496</v>
      </c>
      <c r="E88">
        <v>15.548</v>
      </c>
      <c r="F88">
        <v>20.69</v>
      </c>
    </row>
    <row r="89" spans="1:6" x14ac:dyDescent="0.2">
      <c r="A89" s="4">
        <v>45967.4306633796</v>
      </c>
      <c r="B89">
        <v>316</v>
      </c>
      <c r="C89">
        <v>541.12</v>
      </c>
      <c r="D89">
        <v>15.396000000000001</v>
      </c>
      <c r="E89">
        <v>15.448</v>
      </c>
      <c r="F89">
        <v>20.69</v>
      </c>
    </row>
    <row r="90" spans="1:6" x14ac:dyDescent="0.2">
      <c r="A90" s="4">
        <v>45967.430869884302</v>
      </c>
      <c r="B90">
        <v>158</v>
      </c>
      <c r="C90">
        <v>558.96</v>
      </c>
      <c r="D90">
        <v>15.282999999999999</v>
      </c>
      <c r="E90">
        <v>15.353</v>
      </c>
      <c r="F90">
        <v>20.69</v>
      </c>
    </row>
    <row r="91" spans="1:6" x14ac:dyDescent="0.2">
      <c r="A91" s="4">
        <v>45967.431130104203</v>
      </c>
      <c r="B91">
        <v>641</v>
      </c>
      <c r="C91">
        <v>581.44000000000005</v>
      </c>
      <c r="D91">
        <v>15.183</v>
      </c>
      <c r="E91">
        <v>15.234999999999999</v>
      </c>
      <c r="F91">
        <v>20.69</v>
      </c>
    </row>
    <row r="92" spans="1:6" x14ac:dyDescent="0.2">
      <c r="A92" s="4">
        <v>45967.4313685417</v>
      </c>
      <c r="B92">
        <v>242</v>
      </c>
      <c r="C92">
        <v>602.04</v>
      </c>
      <c r="D92">
        <v>15.077999999999999</v>
      </c>
      <c r="E92">
        <v>15.127000000000001</v>
      </c>
      <c r="F92">
        <v>20.7</v>
      </c>
    </row>
    <row r="93" spans="1:6" x14ac:dyDescent="0.2">
      <c r="A93" s="4">
        <v>45967.431616631897</v>
      </c>
      <c r="B93">
        <v>677</v>
      </c>
      <c r="C93">
        <v>623.48</v>
      </c>
      <c r="D93">
        <v>14.975</v>
      </c>
      <c r="E93">
        <v>15.016</v>
      </c>
      <c r="F93">
        <v>20.7</v>
      </c>
    </row>
    <row r="94" spans="1:6" x14ac:dyDescent="0.2">
      <c r="A94" s="4">
        <v>45967.431843749997</v>
      </c>
      <c r="B94">
        <v>300</v>
      </c>
      <c r="C94">
        <v>643.1</v>
      </c>
      <c r="D94">
        <v>14.868</v>
      </c>
      <c r="E94">
        <v>14.914999999999999</v>
      </c>
      <c r="F94">
        <v>20.69</v>
      </c>
    </row>
    <row r="95" spans="1:6" x14ac:dyDescent="0.2">
      <c r="A95" s="4">
        <v>45967.432061018502</v>
      </c>
      <c r="B95">
        <v>72</v>
      </c>
      <c r="C95">
        <v>661.87</v>
      </c>
      <c r="D95">
        <v>14.765000000000001</v>
      </c>
      <c r="E95">
        <v>14.819000000000001</v>
      </c>
      <c r="F95">
        <v>20.69</v>
      </c>
    </row>
    <row r="96" spans="1:6" x14ac:dyDescent="0.2">
      <c r="A96" s="4">
        <v>45967.432320752298</v>
      </c>
      <c r="B96">
        <v>513</v>
      </c>
      <c r="C96">
        <v>684.31</v>
      </c>
      <c r="D96">
        <v>14.662000000000001</v>
      </c>
      <c r="E96">
        <v>14.705</v>
      </c>
      <c r="F96">
        <v>20.69</v>
      </c>
    </row>
    <row r="97" spans="1:6" x14ac:dyDescent="0.2">
      <c r="A97" s="4">
        <v>45967.432559432898</v>
      </c>
      <c r="B97">
        <v>135</v>
      </c>
      <c r="C97">
        <v>704.94</v>
      </c>
      <c r="D97">
        <v>14.56</v>
      </c>
      <c r="E97">
        <v>14.601000000000001</v>
      </c>
      <c r="F97">
        <v>20.7</v>
      </c>
    </row>
    <row r="98" spans="1:6" x14ac:dyDescent="0.2">
      <c r="A98" s="4">
        <v>45967.432797314803</v>
      </c>
      <c r="B98">
        <v>688</v>
      </c>
      <c r="C98">
        <v>725.49</v>
      </c>
      <c r="D98">
        <v>14.459</v>
      </c>
      <c r="E98">
        <v>14.497999999999999</v>
      </c>
      <c r="F98">
        <v>20.7</v>
      </c>
    </row>
    <row r="99" spans="1:6" x14ac:dyDescent="0.2">
      <c r="A99" s="4">
        <v>45967.433036064802</v>
      </c>
      <c r="B99">
        <v>316</v>
      </c>
      <c r="C99">
        <v>746.12</v>
      </c>
      <c r="D99">
        <v>14.356999999999999</v>
      </c>
      <c r="E99">
        <v>14.395</v>
      </c>
      <c r="F99">
        <v>20.7</v>
      </c>
    </row>
    <row r="100" spans="1:6" x14ac:dyDescent="0.2">
      <c r="A100" s="4">
        <v>45967.433306365703</v>
      </c>
      <c r="B100">
        <v>670</v>
      </c>
      <c r="C100">
        <v>769.47</v>
      </c>
      <c r="D100">
        <v>14.250999999999999</v>
      </c>
      <c r="E100">
        <v>14.281000000000001</v>
      </c>
      <c r="F100">
        <v>20.7</v>
      </c>
    </row>
    <row r="101" spans="1:6" x14ac:dyDescent="0.2">
      <c r="A101" s="4">
        <v>45967.433512280099</v>
      </c>
      <c r="B101">
        <v>461</v>
      </c>
      <c r="C101">
        <v>787.26</v>
      </c>
      <c r="D101">
        <v>14.151</v>
      </c>
      <c r="E101">
        <v>14.194000000000001</v>
      </c>
      <c r="F101">
        <v>20.7</v>
      </c>
    </row>
    <row r="102" spans="1:6" x14ac:dyDescent="0.2">
      <c r="A102" s="4">
        <v>45967.4337608102</v>
      </c>
      <c r="B102">
        <v>934</v>
      </c>
      <c r="C102">
        <v>808.74</v>
      </c>
      <c r="D102">
        <v>14.05</v>
      </c>
      <c r="E102">
        <v>14.089</v>
      </c>
      <c r="F102">
        <v>20.7</v>
      </c>
    </row>
    <row r="103" spans="1:6" x14ac:dyDescent="0.2">
      <c r="A103" s="4">
        <v>45967.434008588003</v>
      </c>
      <c r="B103">
        <v>342</v>
      </c>
      <c r="C103">
        <v>830.14</v>
      </c>
      <c r="D103">
        <v>13.95</v>
      </c>
      <c r="E103">
        <v>13.986000000000001</v>
      </c>
      <c r="F103">
        <v>20.7</v>
      </c>
    </row>
    <row r="104" spans="1:6" x14ac:dyDescent="0.2">
      <c r="A104" s="4">
        <v>45967.434289803197</v>
      </c>
      <c r="B104">
        <v>639</v>
      </c>
      <c r="C104">
        <v>854.44</v>
      </c>
      <c r="D104">
        <v>13.84</v>
      </c>
      <c r="E104">
        <v>13.871</v>
      </c>
      <c r="F104">
        <v>20.7</v>
      </c>
    </row>
    <row r="105" spans="1:6" x14ac:dyDescent="0.2">
      <c r="A105" s="4">
        <v>45967.434570601901</v>
      </c>
      <c r="B105">
        <v>900</v>
      </c>
      <c r="C105">
        <v>878.7</v>
      </c>
      <c r="D105">
        <v>13.734999999999999</v>
      </c>
      <c r="E105">
        <v>13.756</v>
      </c>
      <c r="F105">
        <v>20.7</v>
      </c>
    </row>
    <row r="106" spans="1:6" x14ac:dyDescent="0.2">
      <c r="A106" s="4">
        <v>45967.434818692098</v>
      </c>
      <c r="B106">
        <v>335</v>
      </c>
      <c r="C106">
        <v>900.14</v>
      </c>
      <c r="D106">
        <v>13.631</v>
      </c>
      <c r="E106">
        <v>13.654999999999999</v>
      </c>
      <c r="F106">
        <v>20.7</v>
      </c>
    </row>
    <row r="107" spans="1:6" x14ac:dyDescent="0.2">
      <c r="A107" s="4">
        <v>45967.435079340299</v>
      </c>
      <c r="B107">
        <v>855</v>
      </c>
      <c r="C107">
        <v>922.66</v>
      </c>
      <c r="D107">
        <v>13.53</v>
      </c>
      <c r="E107">
        <v>13.551</v>
      </c>
      <c r="F107">
        <v>20.7</v>
      </c>
    </row>
    <row r="108" spans="1:6" x14ac:dyDescent="0.2">
      <c r="A108" s="4">
        <v>45967.435372349501</v>
      </c>
      <c r="B108">
        <v>171</v>
      </c>
      <c r="C108">
        <v>947.97</v>
      </c>
      <c r="D108">
        <v>13.423999999999999</v>
      </c>
      <c r="E108">
        <v>13.433999999999999</v>
      </c>
      <c r="F108">
        <v>20.7</v>
      </c>
    </row>
    <row r="109" spans="1:6" x14ac:dyDescent="0.2">
      <c r="A109" s="4">
        <v>45967.435598935197</v>
      </c>
      <c r="B109">
        <v>748</v>
      </c>
      <c r="C109">
        <v>967.55</v>
      </c>
      <c r="D109">
        <v>13.321</v>
      </c>
      <c r="E109">
        <v>13.343999999999999</v>
      </c>
      <c r="F109">
        <v>20.7</v>
      </c>
    </row>
    <row r="110" spans="1:6" x14ac:dyDescent="0.2">
      <c r="A110" s="4">
        <v>45967.435891898102</v>
      </c>
      <c r="B110">
        <v>60</v>
      </c>
      <c r="C110">
        <v>992.86</v>
      </c>
      <c r="D110">
        <v>13.221</v>
      </c>
      <c r="E110">
        <v>13.23</v>
      </c>
      <c r="F110">
        <v>20.7</v>
      </c>
    </row>
    <row r="111" spans="1:6" x14ac:dyDescent="0.2">
      <c r="A111" s="4">
        <v>45967.436152361101</v>
      </c>
      <c r="B111">
        <v>564</v>
      </c>
      <c r="C111">
        <v>1015.37</v>
      </c>
      <c r="D111">
        <v>13.101000000000001</v>
      </c>
      <c r="E111">
        <v>13.128</v>
      </c>
      <c r="F111">
        <v>20.7</v>
      </c>
    </row>
    <row r="112" spans="1:6" x14ac:dyDescent="0.2">
      <c r="A112" s="4">
        <v>45967.436445601903</v>
      </c>
      <c r="B112">
        <v>900</v>
      </c>
      <c r="C112">
        <v>1040.7</v>
      </c>
      <c r="D112">
        <v>13</v>
      </c>
      <c r="E112">
        <v>13.016</v>
      </c>
      <c r="F112">
        <v>20.7</v>
      </c>
    </row>
    <row r="113" spans="1:6" x14ac:dyDescent="0.2">
      <c r="A113" s="4">
        <v>45967.436704838001</v>
      </c>
      <c r="B113">
        <v>298</v>
      </c>
      <c r="C113">
        <v>1063.0999999999999</v>
      </c>
      <c r="D113">
        <v>12.896000000000001</v>
      </c>
      <c r="E113">
        <v>12.917</v>
      </c>
      <c r="F113">
        <v>20.7</v>
      </c>
    </row>
    <row r="114" spans="1:6" x14ac:dyDescent="0.2">
      <c r="A114" s="4">
        <v>45967.437030428198</v>
      </c>
      <c r="B114">
        <v>429</v>
      </c>
      <c r="C114">
        <v>1091.23</v>
      </c>
      <c r="D114">
        <v>12.789</v>
      </c>
      <c r="E114">
        <v>12.794</v>
      </c>
      <c r="F114">
        <v>20.71</v>
      </c>
    </row>
    <row r="115" spans="1:6" x14ac:dyDescent="0.2">
      <c r="A115" s="4">
        <v>45967.437302199098</v>
      </c>
      <c r="B115">
        <v>910</v>
      </c>
      <c r="C115">
        <v>1114.71</v>
      </c>
      <c r="D115">
        <v>12.686999999999999</v>
      </c>
      <c r="E115">
        <v>12.692</v>
      </c>
      <c r="F115">
        <v>20.71</v>
      </c>
    </row>
    <row r="116" spans="1:6" x14ac:dyDescent="0.2">
      <c r="A116" s="4">
        <v>45967.437584074098</v>
      </c>
      <c r="B116">
        <v>264</v>
      </c>
      <c r="C116">
        <v>1139.07</v>
      </c>
      <c r="D116">
        <v>12.585000000000001</v>
      </c>
      <c r="E116">
        <v>12.587</v>
      </c>
      <c r="F116">
        <v>20.71</v>
      </c>
    </row>
    <row r="117" spans="1:6" x14ac:dyDescent="0.2">
      <c r="A117" s="4">
        <v>45967.4378662616</v>
      </c>
      <c r="B117">
        <v>645</v>
      </c>
      <c r="C117">
        <v>1163.45</v>
      </c>
      <c r="D117">
        <v>12.483000000000001</v>
      </c>
      <c r="E117">
        <v>12.483000000000001</v>
      </c>
      <c r="F117">
        <v>20.71</v>
      </c>
    </row>
    <row r="118" spans="1:6" x14ac:dyDescent="0.2">
      <c r="A118" s="4">
        <v>45967.438125080997</v>
      </c>
      <c r="B118">
        <v>7</v>
      </c>
      <c r="C118">
        <v>1185.81</v>
      </c>
      <c r="D118">
        <v>12.38</v>
      </c>
      <c r="E118">
        <v>12.388999999999999</v>
      </c>
      <c r="F118">
        <v>20.71</v>
      </c>
    </row>
    <row r="119" spans="1:6" x14ac:dyDescent="0.2">
      <c r="A119" s="4">
        <v>45967.438428333298</v>
      </c>
      <c r="B119">
        <v>208</v>
      </c>
      <c r="C119">
        <v>1212.01</v>
      </c>
      <c r="D119">
        <v>12.279</v>
      </c>
      <c r="E119">
        <v>12.279</v>
      </c>
      <c r="F119">
        <v>20.71</v>
      </c>
    </row>
    <row r="120" spans="1:6" x14ac:dyDescent="0.2">
      <c r="A120" s="4">
        <v>45967.438720949103</v>
      </c>
      <c r="B120">
        <v>490</v>
      </c>
      <c r="C120">
        <v>1237.29</v>
      </c>
      <c r="D120">
        <v>12.177</v>
      </c>
      <c r="E120">
        <v>12.175000000000001</v>
      </c>
      <c r="F120">
        <v>20.71</v>
      </c>
    </row>
    <row r="121" spans="1:6" x14ac:dyDescent="0.2">
      <c r="A121" s="4">
        <v>45967.439002592597</v>
      </c>
      <c r="B121">
        <v>824</v>
      </c>
      <c r="C121">
        <v>1261.6300000000001</v>
      </c>
      <c r="D121">
        <v>12.073</v>
      </c>
      <c r="E121">
        <v>12.074999999999999</v>
      </c>
      <c r="F121">
        <v>20.71</v>
      </c>
    </row>
    <row r="122" spans="1:6" x14ac:dyDescent="0.2">
      <c r="A122" s="4">
        <v>45967.439328611101</v>
      </c>
      <c r="B122">
        <v>992</v>
      </c>
      <c r="C122">
        <v>1289.79</v>
      </c>
      <c r="D122">
        <v>11.962999999999999</v>
      </c>
      <c r="E122">
        <v>11.96</v>
      </c>
      <c r="F122">
        <v>20.7</v>
      </c>
    </row>
    <row r="123" spans="1:6" x14ac:dyDescent="0.2">
      <c r="A123" s="4">
        <v>45967.4396112963</v>
      </c>
      <c r="B123">
        <v>416</v>
      </c>
      <c r="C123">
        <v>1314.22</v>
      </c>
      <c r="D123">
        <v>11.856999999999999</v>
      </c>
      <c r="E123">
        <v>11.862</v>
      </c>
      <c r="F123">
        <v>20.71</v>
      </c>
    </row>
    <row r="124" spans="1:6" x14ac:dyDescent="0.2">
      <c r="A124" s="4">
        <v>45967.439871226903</v>
      </c>
      <c r="B124">
        <v>874</v>
      </c>
      <c r="C124">
        <v>1336.68</v>
      </c>
      <c r="D124">
        <v>11.756</v>
      </c>
      <c r="E124">
        <v>11.772</v>
      </c>
      <c r="F124">
        <v>20.71</v>
      </c>
    </row>
    <row r="125" spans="1:6" x14ac:dyDescent="0.2">
      <c r="A125" s="4">
        <v>45967.440217673597</v>
      </c>
      <c r="B125">
        <v>807</v>
      </c>
      <c r="C125">
        <v>1366.61</v>
      </c>
      <c r="D125">
        <v>11.638999999999999</v>
      </c>
      <c r="E125">
        <v>11.654</v>
      </c>
      <c r="F125">
        <v>20.71</v>
      </c>
    </row>
    <row r="126" spans="1:6" x14ac:dyDescent="0.2">
      <c r="A126" s="4">
        <v>45967.440555381902</v>
      </c>
      <c r="B126">
        <v>985</v>
      </c>
      <c r="C126">
        <v>1395.79</v>
      </c>
      <c r="D126">
        <v>11.536</v>
      </c>
      <c r="E126">
        <v>11.54</v>
      </c>
      <c r="F126">
        <v>20.71</v>
      </c>
    </row>
    <row r="127" spans="1:6" x14ac:dyDescent="0.2">
      <c r="A127" s="4">
        <v>45967.440837094902</v>
      </c>
      <c r="B127">
        <v>325</v>
      </c>
      <c r="C127">
        <v>1420.13</v>
      </c>
      <c r="D127">
        <v>11.436</v>
      </c>
      <c r="E127">
        <v>11.445</v>
      </c>
      <c r="F127">
        <v>20.71</v>
      </c>
    </row>
    <row r="128" spans="1:6" x14ac:dyDescent="0.2">
      <c r="A128" s="4">
        <v>45967.441217199099</v>
      </c>
      <c r="B128">
        <v>166</v>
      </c>
      <c r="C128">
        <v>1452.97</v>
      </c>
      <c r="D128">
        <v>11.335000000000001</v>
      </c>
      <c r="E128">
        <v>11.32</v>
      </c>
      <c r="F128">
        <v>20.71</v>
      </c>
    </row>
    <row r="129" spans="1:6" x14ac:dyDescent="0.2">
      <c r="A129" s="4">
        <v>45967.441510138902</v>
      </c>
      <c r="B129">
        <v>476</v>
      </c>
      <c r="C129">
        <v>1478.28</v>
      </c>
      <c r="D129">
        <v>11.231</v>
      </c>
      <c r="E129">
        <v>11.224</v>
      </c>
      <c r="F129">
        <v>20.7</v>
      </c>
    </row>
    <row r="130" spans="1:6" x14ac:dyDescent="0.2">
      <c r="A130" s="4">
        <v>45967.441813263897</v>
      </c>
      <c r="B130">
        <v>666</v>
      </c>
      <c r="C130">
        <v>1504.47</v>
      </c>
      <c r="D130">
        <v>11.129</v>
      </c>
      <c r="E130">
        <v>11.125</v>
      </c>
      <c r="F130">
        <v>20.7</v>
      </c>
    </row>
    <row r="131" spans="1:6" x14ac:dyDescent="0.2">
      <c r="A131" s="4">
        <v>45967.442149629598</v>
      </c>
      <c r="B131">
        <v>728</v>
      </c>
      <c r="C131">
        <v>1533.53</v>
      </c>
      <c r="D131">
        <v>11.023999999999999</v>
      </c>
      <c r="E131">
        <v>11.016999999999999</v>
      </c>
      <c r="F131">
        <v>20.7</v>
      </c>
    </row>
    <row r="132" spans="1:6" x14ac:dyDescent="0.2">
      <c r="A132" s="4">
        <v>45967.442474363401</v>
      </c>
      <c r="B132">
        <v>785</v>
      </c>
      <c r="C132">
        <v>1561.59</v>
      </c>
      <c r="D132">
        <v>10.919</v>
      </c>
      <c r="E132">
        <v>10.914</v>
      </c>
      <c r="F132">
        <v>20.71</v>
      </c>
    </row>
    <row r="133" spans="1:6" x14ac:dyDescent="0.2">
      <c r="A133" s="4">
        <v>45967.442777511598</v>
      </c>
      <c r="B133">
        <v>977</v>
      </c>
      <c r="C133">
        <v>1587.78</v>
      </c>
      <c r="D133">
        <v>10.813000000000001</v>
      </c>
      <c r="E133">
        <v>10.819000000000001</v>
      </c>
      <c r="F133">
        <v>20.7</v>
      </c>
    </row>
    <row r="134" spans="1:6" x14ac:dyDescent="0.2">
      <c r="A134" s="4">
        <v>45967.443135416703</v>
      </c>
      <c r="B134">
        <v>900</v>
      </c>
      <c r="C134">
        <v>1618.7</v>
      </c>
      <c r="D134">
        <v>10.71</v>
      </c>
      <c r="E134">
        <v>10.707000000000001</v>
      </c>
      <c r="F134">
        <v>20.71</v>
      </c>
    </row>
    <row r="135" spans="1:6" x14ac:dyDescent="0.2">
      <c r="A135" s="4">
        <v>45967.443473645799</v>
      </c>
      <c r="B135">
        <v>123</v>
      </c>
      <c r="C135">
        <v>1647.93</v>
      </c>
      <c r="D135">
        <v>10.61</v>
      </c>
      <c r="E135">
        <v>10.603</v>
      </c>
      <c r="F135">
        <v>20.71</v>
      </c>
    </row>
    <row r="136" spans="1:6" x14ac:dyDescent="0.2">
      <c r="A136" s="4">
        <v>45967.443745324097</v>
      </c>
      <c r="B136">
        <v>596</v>
      </c>
      <c r="C136">
        <v>1671.4</v>
      </c>
      <c r="D136">
        <v>10.507999999999999</v>
      </c>
      <c r="E136">
        <v>10.52</v>
      </c>
      <c r="F136">
        <v>20.71</v>
      </c>
    </row>
    <row r="137" spans="1:6" x14ac:dyDescent="0.2">
      <c r="A137" s="4">
        <v>45967.4441488542</v>
      </c>
      <c r="B137">
        <v>461</v>
      </c>
      <c r="C137">
        <v>1706.26</v>
      </c>
      <c r="D137">
        <v>10.404</v>
      </c>
      <c r="E137">
        <v>10.398999999999999</v>
      </c>
      <c r="F137">
        <v>20.71</v>
      </c>
    </row>
    <row r="138" spans="1:6" x14ac:dyDescent="0.2">
      <c r="A138" s="4">
        <v>45967.444461493098</v>
      </c>
      <c r="B138">
        <v>473</v>
      </c>
      <c r="C138">
        <v>1733.28</v>
      </c>
      <c r="D138">
        <v>10.301</v>
      </c>
      <c r="E138">
        <v>10.305</v>
      </c>
      <c r="F138">
        <v>20.71</v>
      </c>
    </row>
    <row r="139" spans="1:6" x14ac:dyDescent="0.2">
      <c r="A139" s="4">
        <v>45967.444776087999</v>
      </c>
      <c r="B139">
        <v>654</v>
      </c>
      <c r="C139">
        <v>1760.46</v>
      </c>
      <c r="D139">
        <v>10.191000000000001</v>
      </c>
      <c r="E139">
        <v>10.212999999999999</v>
      </c>
      <c r="F139">
        <v>20.71</v>
      </c>
    </row>
    <row r="140" spans="1:6" x14ac:dyDescent="0.2">
      <c r="A140" s="4">
        <v>45967.445212013903</v>
      </c>
      <c r="B140">
        <v>318</v>
      </c>
      <c r="C140">
        <v>1798.12</v>
      </c>
      <c r="D140">
        <v>10.087999999999999</v>
      </c>
      <c r="E140">
        <v>10.085000000000001</v>
      </c>
      <c r="F140">
        <v>20.71</v>
      </c>
    </row>
    <row r="141" spans="1:6" x14ac:dyDescent="0.2">
      <c r="A141" s="4">
        <v>45967.445558773201</v>
      </c>
      <c r="B141">
        <v>278</v>
      </c>
      <c r="C141">
        <v>1828.08</v>
      </c>
      <c r="D141">
        <v>9.9879999999999995</v>
      </c>
      <c r="E141">
        <v>9.9849999999999994</v>
      </c>
      <c r="F141">
        <v>20.71</v>
      </c>
    </row>
    <row r="142" spans="1:6" x14ac:dyDescent="0.2">
      <c r="A142" s="4">
        <v>45967.445874085701</v>
      </c>
      <c r="B142">
        <v>521</v>
      </c>
      <c r="C142">
        <v>1855.32</v>
      </c>
      <c r="D142">
        <v>9.8870000000000005</v>
      </c>
      <c r="E142">
        <v>9.8960000000000008</v>
      </c>
      <c r="F142">
        <v>20.71</v>
      </c>
    </row>
    <row r="143" spans="1:6" x14ac:dyDescent="0.2">
      <c r="A143" s="4">
        <v>45967.446232685201</v>
      </c>
      <c r="B143">
        <v>504</v>
      </c>
      <c r="C143">
        <v>1886.31</v>
      </c>
      <c r="D143">
        <v>9.7870000000000008</v>
      </c>
      <c r="E143">
        <v>9.7940000000000005</v>
      </c>
      <c r="F143">
        <v>20.71</v>
      </c>
    </row>
    <row r="144" spans="1:6" x14ac:dyDescent="0.2">
      <c r="A144" s="4">
        <v>45967.446591550899</v>
      </c>
      <c r="B144">
        <v>510</v>
      </c>
      <c r="C144">
        <v>1917.31</v>
      </c>
      <c r="D144">
        <v>9.6850000000000005</v>
      </c>
      <c r="E144">
        <v>9.6940000000000008</v>
      </c>
      <c r="F144">
        <v>20.71</v>
      </c>
    </row>
    <row r="145" spans="1:6" x14ac:dyDescent="0.2">
      <c r="A145" s="4">
        <v>45967.446948912002</v>
      </c>
      <c r="B145">
        <v>386</v>
      </c>
      <c r="C145">
        <v>1948.19</v>
      </c>
      <c r="D145">
        <v>9.5850000000000009</v>
      </c>
      <c r="E145">
        <v>9.5960000000000001</v>
      </c>
      <c r="F145">
        <v>20.71</v>
      </c>
    </row>
    <row r="146" spans="1:6" x14ac:dyDescent="0.2">
      <c r="A146" s="4">
        <v>45967.447328460701</v>
      </c>
      <c r="B146">
        <v>179</v>
      </c>
      <c r="C146">
        <v>1980.98</v>
      </c>
      <c r="D146">
        <v>9.484</v>
      </c>
      <c r="E146">
        <v>9.4920000000000009</v>
      </c>
      <c r="F146">
        <v>20.72</v>
      </c>
    </row>
    <row r="147" spans="1:6" x14ac:dyDescent="0.2">
      <c r="A147" s="4">
        <v>45967.447717615702</v>
      </c>
      <c r="B147">
        <v>802</v>
      </c>
      <c r="C147">
        <v>2014.6</v>
      </c>
      <c r="D147">
        <v>9.3810000000000002</v>
      </c>
      <c r="E147">
        <v>9.3879999999999999</v>
      </c>
      <c r="F147">
        <v>20.71</v>
      </c>
    </row>
    <row r="148" spans="1:6" x14ac:dyDescent="0.2">
      <c r="A148" s="4">
        <v>45967.448129375</v>
      </c>
      <c r="B148">
        <v>378</v>
      </c>
      <c r="C148">
        <v>2050.1799999999998</v>
      </c>
      <c r="D148">
        <v>9.2759999999999998</v>
      </c>
      <c r="E148">
        <v>9.2780000000000005</v>
      </c>
      <c r="F148">
        <v>20.71</v>
      </c>
    </row>
    <row r="149" spans="1:6" x14ac:dyDescent="0.2">
      <c r="A149" s="4">
        <v>45967.448542013903</v>
      </c>
      <c r="B149">
        <v>30</v>
      </c>
      <c r="C149">
        <v>2085.83</v>
      </c>
      <c r="D149">
        <v>9.173</v>
      </c>
      <c r="E149">
        <v>9.17</v>
      </c>
      <c r="F149">
        <v>20.72</v>
      </c>
    </row>
    <row r="150" spans="1:6" x14ac:dyDescent="0.2">
      <c r="A150" s="4">
        <v>45967.448965555603</v>
      </c>
      <c r="B150">
        <v>624</v>
      </c>
      <c r="C150">
        <v>2122.4299999999998</v>
      </c>
      <c r="D150">
        <v>9.07</v>
      </c>
      <c r="E150">
        <v>9.06</v>
      </c>
      <c r="F150">
        <v>20.72</v>
      </c>
    </row>
    <row r="151" spans="1:6" x14ac:dyDescent="0.2">
      <c r="A151" s="4">
        <v>45967.449355682897</v>
      </c>
      <c r="B151">
        <v>331</v>
      </c>
      <c r="C151">
        <v>2156.13</v>
      </c>
      <c r="D151">
        <v>8.9649999999999999</v>
      </c>
      <c r="E151">
        <v>8.9610000000000003</v>
      </c>
      <c r="F151">
        <v>20.72</v>
      </c>
    </row>
    <row r="152" spans="1:6" x14ac:dyDescent="0.2">
      <c r="A152" s="4">
        <v>45967.449801516203</v>
      </c>
      <c r="B152">
        <v>851</v>
      </c>
      <c r="C152">
        <v>2194.65</v>
      </c>
      <c r="D152">
        <v>8.8620000000000001</v>
      </c>
      <c r="E152">
        <v>8.8480000000000008</v>
      </c>
      <c r="F152">
        <v>20.72</v>
      </c>
    </row>
    <row r="153" spans="1:6" x14ac:dyDescent="0.2">
      <c r="A153" s="4">
        <v>45967.450181412001</v>
      </c>
      <c r="B153">
        <v>674</v>
      </c>
      <c r="C153">
        <v>2227.48</v>
      </c>
      <c r="D153">
        <v>8.7609999999999992</v>
      </c>
      <c r="E153">
        <v>8.7539999999999996</v>
      </c>
      <c r="F153">
        <v>20.72</v>
      </c>
    </row>
    <row r="154" spans="1:6" x14ac:dyDescent="0.2">
      <c r="A154" s="4">
        <v>45967.450605196798</v>
      </c>
      <c r="B154">
        <v>289</v>
      </c>
      <c r="C154">
        <v>2264.09</v>
      </c>
      <c r="D154">
        <v>8.66</v>
      </c>
      <c r="E154">
        <v>8.65</v>
      </c>
      <c r="F154">
        <v>20.72</v>
      </c>
    </row>
    <row r="155" spans="1:6" x14ac:dyDescent="0.2">
      <c r="A155" s="4">
        <v>45967.450995624997</v>
      </c>
      <c r="B155">
        <v>22</v>
      </c>
      <c r="C155">
        <v>2297.8200000000002</v>
      </c>
      <c r="D155">
        <v>8.5570000000000004</v>
      </c>
      <c r="E155">
        <v>8.5549999999999997</v>
      </c>
      <c r="F155">
        <v>20.72</v>
      </c>
    </row>
    <row r="156" spans="1:6" x14ac:dyDescent="0.2">
      <c r="A156" s="4">
        <v>45967.4514415046</v>
      </c>
      <c r="B156">
        <v>546</v>
      </c>
      <c r="C156">
        <v>2336.35</v>
      </c>
      <c r="D156">
        <v>8.4550000000000001</v>
      </c>
      <c r="E156">
        <v>8.4489999999999998</v>
      </c>
      <c r="F156">
        <v>20.72</v>
      </c>
    </row>
    <row r="157" spans="1:6" x14ac:dyDescent="0.2">
      <c r="A157" s="4">
        <v>45967.4518858218</v>
      </c>
      <c r="B157">
        <v>935</v>
      </c>
      <c r="C157">
        <v>2374.7399999999998</v>
      </c>
      <c r="D157">
        <v>8.3539999999999992</v>
      </c>
      <c r="E157">
        <v>8.3439999999999994</v>
      </c>
      <c r="F157">
        <v>20.72</v>
      </c>
    </row>
    <row r="158" spans="1:6" x14ac:dyDescent="0.2">
      <c r="A158" s="4">
        <v>45967.452341087999</v>
      </c>
      <c r="B158">
        <v>270</v>
      </c>
      <c r="C158">
        <v>2414.0700000000002</v>
      </c>
      <c r="D158">
        <v>8.2539999999999996</v>
      </c>
      <c r="E158">
        <v>8.2379999999999995</v>
      </c>
      <c r="F158">
        <v>20.72</v>
      </c>
    </row>
    <row r="159" spans="1:6" x14ac:dyDescent="0.2">
      <c r="A159" s="4">
        <v>45967.452764641203</v>
      </c>
      <c r="B159">
        <v>865</v>
      </c>
      <c r="C159">
        <v>2450.67</v>
      </c>
      <c r="D159">
        <v>8.1509999999999998</v>
      </c>
      <c r="E159">
        <v>8.141</v>
      </c>
      <c r="F159">
        <v>20.72</v>
      </c>
    </row>
    <row r="160" spans="1:6" x14ac:dyDescent="0.2">
      <c r="A160" s="4">
        <v>45967.453243425902</v>
      </c>
      <c r="B160">
        <v>232</v>
      </c>
      <c r="C160">
        <v>2492.0300000000002</v>
      </c>
      <c r="D160">
        <v>8.0500000000000007</v>
      </c>
      <c r="E160">
        <v>8.0329999999999995</v>
      </c>
      <c r="F160">
        <v>20.72</v>
      </c>
    </row>
    <row r="161" spans="1:6" x14ac:dyDescent="0.2">
      <c r="A161" s="4">
        <v>45967.453688078698</v>
      </c>
      <c r="B161">
        <v>650</v>
      </c>
      <c r="C161">
        <v>2530.4499999999998</v>
      </c>
      <c r="D161">
        <v>7.95</v>
      </c>
      <c r="E161">
        <v>7.9340000000000002</v>
      </c>
      <c r="F161">
        <v>20.72</v>
      </c>
    </row>
    <row r="162" spans="1:6" x14ac:dyDescent="0.2">
      <c r="A162" s="4">
        <v>45967.454189027798</v>
      </c>
      <c r="B162">
        <v>932</v>
      </c>
      <c r="C162">
        <v>2573.73</v>
      </c>
      <c r="D162">
        <v>7.8449999999999998</v>
      </c>
      <c r="E162">
        <v>7.8239999999999998</v>
      </c>
      <c r="F162">
        <v>20.73</v>
      </c>
    </row>
    <row r="163" spans="1:6" x14ac:dyDescent="0.2">
      <c r="A163" s="4">
        <v>45967.454623009296</v>
      </c>
      <c r="B163">
        <v>428</v>
      </c>
      <c r="C163">
        <v>2611.23</v>
      </c>
      <c r="D163">
        <v>7.73</v>
      </c>
      <c r="E163">
        <v>7.73</v>
      </c>
      <c r="F163">
        <v>20.73</v>
      </c>
    </row>
    <row r="164" spans="1:6" x14ac:dyDescent="0.2">
      <c r="A164" s="4"/>
    </row>
    <row r="165" spans="1:6" x14ac:dyDescent="0.2">
      <c r="A165" s="4"/>
    </row>
    <row r="166" spans="1:6" x14ac:dyDescent="0.2">
      <c r="A166" s="4"/>
    </row>
    <row r="167" spans="1:6" x14ac:dyDescent="0.2">
      <c r="A167" s="4"/>
    </row>
    <row r="168" spans="1:6" x14ac:dyDescent="0.2">
      <c r="A168" s="4"/>
    </row>
    <row r="169" spans="1:6" x14ac:dyDescent="0.2">
      <c r="A169" s="4"/>
    </row>
    <row r="170" spans="1:6" x14ac:dyDescent="0.2">
      <c r="A170" s="4"/>
    </row>
    <row r="171" spans="1:6" x14ac:dyDescent="0.2">
      <c r="A171" s="4"/>
    </row>
    <row r="172" spans="1:6" x14ac:dyDescent="0.2">
      <c r="A172" s="4"/>
    </row>
    <row r="173" spans="1:6" x14ac:dyDescent="0.2">
      <c r="A173" s="4"/>
    </row>
    <row r="174" spans="1:6" x14ac:dyDescent="0.2">
      <c r="A174" s="4"/>
    </row>
    <row r="175" spans="1:6" x14ac:dyDescent="0.2">
      <c r="A175" s="4"/>
    </row>
    <row r="176" spans="1:6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  <row r="218" spans="1:1" x14ac:dyDescent="0.2">
      <c r="A218" s="4"/>
    </row>
    <row r="219" spans="1:1" x14ac:dyDescent="0.2">
      <c r="A219" s="4"/>
    </row>
    <row r="220" spans="1:1" x14ac:dyDescent="0.2">
      <c r="A220" s="4"/>
    </row>
    <row r="221" spans="1:1" x14ac:dyDescent="0.2">
      <c r="A221" s="4"/>
    </row>
    <row r="222" spans="1:1" x14ac:dyDescent="0.2">
      <c r="A222" s="4"/>
    </row>
    <row r="223" spans="1:1" x14ac:dyDescent="0.2">
      <c r="A223" s="4"/>
    </row>
    <row r="224" spans="1:1" x14ac:dyDescent="0.2">
      <c r="A224" s="4"/>
    </row>
    <row r="225" spans="1:1" x14ac:dyDescent="0.2">
      <c r="A225" s="4"/>
    </row>
    <row r="226" spans="1:1" x14ac:dyDescent="0.2">
      <c r="A226" s="4"/>
    </row>
    <row r="227" spans="1:1" x14ac:dyDescent="0.2">
      <c r="A227" s="4"/>
    </row>
    <row r="228" spans="1:1" x14ac:dyDescent="0.2">
      <c r="A228" s="4"/>
    </row>
    <row r="229" spans="1:1" x14ac:dyDescent="0.2">
      <c r="A229" s="4"/>
    </row>
    <row r="230" spans="1:1" x14ac:dyDescent="0.2">
      <c r="A230" s="4"/>
    </row>
    <row r="231" spans="1:1" x14ac:dyDescent="0.2">
      <c r="A231" s="4"/>
    </row>
    <row r="232" spans="1:1" x14ac:dyDescent="0.2">
      <c r="A232" s="4"/>
    </row>
    <row r="233" spans="1:1" x14ac:dyDescent="0.2">
      <c r="A233" s="4"/>
    </row>
    <row r="234" spans="1:1" x14ac:dyDescent="0.2">
      <c r="A234" s="4"/>
    </row>
    <row r="235" spans="1:1" x14ac:dyDescent="0.2">
      <c r="A235" s="4"/>
    </row>
    <row r="236" spans="1:1" x14ac:dyDescent="0.2">
      <c r="A236" s="4"/>
    </row>
    <row r="237" spans="1:1" x14ac:dyDescent="0.2">
      <c r="A237" s="4"/>
    </row>
    <row r="238" spans="1:1" x14ac:dyDescent="0.2">
      <c r="A238" s="4"/>
    </row>
    <row r="239" spans="1:1" x14ac:dyDescent="0.2">
      <c r="A239" s="4"/>
    </row>
    <row r="240" spans="1:1" x14ac:dyDescent="0.2">
      <c r="A240" s="4"/>
    </row>
    <row r="241" spans="1:1" x14ac:dyDescent="0.2">
      <c r="A241" s="4"/>
    </row>
    <row r="242" spans="1:1" x14ac:dyDescent="0.2">
      <c r="A242" s="4"/>
    </row>
    <row r="243" spans="1:1" x14ac:dyDescent="0.2">
      <c r="A243" s="4"/>
    </row>
    <row r="244" spans="1:1" x14ac:dyDescent="0.2">
      <c r="A244" s="4"/>
    </row>
    <row r="245" spans="1:1" x14ac:dyDescent="0.2">
      <c r="A245" s="4"/>
    </row>
    <row r="246" spans="1:1" x14ac:dyDescent="0.2">
      <c r="A246" s="4"/>
    </row>
    <row r="247" spans="1:1" x14ac:dyDescent="0.2">
      <c r="A247" s="4"/>
    </row>
    <row r="248" spans="1:1" x14ac:dyDescent="0.2">
      <c r="A248" s="4"/>
    </row>
    <row r="249" spans="1:1" x14ac:dyDescent="0.2">
      <c r="A249" s="4"/>
    </row>
    <row r="250" spans="1:1" x14ac:dyDescent="0.2">
      <c r="A250" s="4"/>
    </row>
    <row r="251" spans="1:1" x14ac:dyDescent="0.2">
      <c r="A251" s="4"/>
    </row>
    <row r="252" spans="1:1" x14ac:dyDescent="0.2">
      <c r="A252" s="4"/>
    </row>
    <row r="253" spans="1:1" x14ac:dyDescent="0.2">
      <c r="A253" s="4"/>
    </row>
    <row r="254" spans="1:1" x14ac:dyDescent="0.2">
      <c r="A254" s="4"/>
    </row>
    <row r="255" spans="1:1" x14ac:dyDescent="0.2">
      <c r="A255" s="4"/>
    </row>
    <row r="256" spans="1:1" x14ac:dyDescent="0.2">
      <c r="A256" s="4"/>
    </row>
    <row r="257" spans="1:1" x14ac:dyDescent="0.2">
      <c r="A257" s="4"/>
    </row>
    <row r="258" spans="1:1" x14ac:dyDescent="0.2">
      <c r="A258" s="4"/>
    </row>
    <row r="259" spans="1:1" x14ac:dyDescent="0.2">
      <c r="A259" s="4"/>
    </row>
    <row r="260" spans="1:1" x14ac:dyDescent="0.2">
      <c r="A260" s="4"/>
    </row>
    <row r="261" spans="1:1" x14ac:dyDescent="0.2">
      <c r="A261" s="4"/>
    </row>
    <row r="262" spans="1:1" x14ac:dyDescent="0.2">
      <c r="A262" s="4"/>
    </row>
    <row r="263" spans="1:1" x14ac:dyDescent="0.2">
      <c r="A263" s="4"/>
    </row>
    <row r="264" spans="1:1" x14ac:dyDescent="0.2">
      <c r="A264" s="4"/>
    </row>
    <row r="265" spans="1:1" x14ac:dyDescent="0.2">
      <c r="A265" s="4"/>
    </row>
    <row r="266" spans="1:1" x14ac:dyDescent="0.2">
      <c r="A266" s="4"/>
    </row>
    <row r="267" spans="1:1" x14ac:dyDescent="0.2">
      <c r="A267" s="4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4"/>
    </row>
    <row r="396" spans="1:1" x14ac:dyDescent="0.2">
      <c r="A396" s="4"/>
    </row>
    <row r="397" spans="1:1" x14ac:dyDescent="0.2">
      <c r="A397" s="4"/>
    </row>
    <row r="398" spans="1:1" x14ac:dyDescent="0.2">
      <c r="A398" s="4"/>
    </row>
    <row r="399" spans="1:1" x14ac:dyDescent="0.2">
      <c r="A399" s="4"/>
    </row>
    <row r="400" spans="1:1" x14ac:dyDescent="0.2">
      <c r="A400" s="4"/>
    </row>
    <row r="401" spans="1:1" x14ac:dyDescent="0.2">
      <c r="A401" s="4"/>
    </row>
    <row r="402" spans="1:1" x14ac:dyDescent="0.2">
      <c r="A402" s="4"/>
    </row>
    <row r="403" spans="1:1" x14ac:dyDescent="0.2">
      <c r="A403" s="4"/>
    </row>
    <row r="404" spans="1:1" x14ac:dyDescent="0.2">
      <c r="A404" s="4"/>
    </row>
    <row r="405" spans="1:1" x14ac:dyDescent="0.2">
      <c r="A405" s="4"/>
    </row>
    <row r="406" spans="1:1" x14ac:dyDescent="0.2">
      <c r="A406" s="4"/>
    </row>
    <row r="407" spans="1:1" x14ac:dyDescent="0.2">
      <c r="A407" s="4"/>
    </row>
    <row r="408" spans="1:1" x14ac:dyDescent="0.2">
      <c r="A408" s="4"/>
    </row>
    <row r="409" spans="1:1" x14ac:dyDescent="0.2">
      <c r="A409" s="4"/>
    </row>
    <row r="410" spans="1:1" x14ac:dyDescent="0.2">
      <c r="A410" s="4"/>
    </row>
    <row r="411" spans="1:1" x14ac:dyDescent="0.2">
      <c r="A411" s="4"/>
    </row>
    <row r="412" spans="1:1" x14ac:dyDescent="0.2">
      <c r="A412" s="4"/>
    </row>
    <row r="413" spans="1:1" x14ac:dyDescent="0.2">
      <c r="A413" s="4"/>
    </row>
    <row r="414" spans="1:1" x14ac:dyDescent="0.2">
      <c r="A414" s="4"/>
    </row>
    <row r="415" spans="1:1" x14ac:dyDescent="0.2">
      <c r="A415" s="4"/>
    </row>
    <row r="416" spans="1:1" x14ac:dyDescent="0.2">
      <c r="A416" s="4"/>
    </row>
    <row r="417" spans="1:1" x14ac:dyDescent="0.2">
      <c r="A417" s="4"/>
    </row>
    <row r="418" spans="1:1" x14ac:dyDescent="0.2">
      <c r="A418" s="4"/>
    </row>
    <row r="419" spans="1:1" x14ac:dyDescent="0.2">
      <c r="A419" s="4"/>
    </row>
    <row r="420" spans="1:1" x14ac:dyDescent="0.2">
      <c r="A420" s="4"/>
    </row>
    <row r="421" spans="1:1" x14ac:dyDescent="0.2">
      <c r="A421" s="4"/>
    </row>
    <row r="422" spans="1:1" x14ac:dyDescent="0.2">
      <c r="A422" s="4"/>
    </row>
    <row r="423" spans="1:1" x14ac:dyDescent="0.2">
      <c r="A423" s="4"/>
    </row>
    <row r="424" spans="1:1" x14ac:dyDescent="0.2">
      <c r="A424" s="4"/>
    </row>
    <row r="425" spans="1:1" x14ac:dyDescent="0.2">
      <c r="A425" s="4"/>
    </row>
    <row r="426" spans="1:1" x14ac:dyDescent="0.2">
      <c r="A426" s="4"/>
    </row>
    <row r="427" spans="1:1" x14ac:dyDescent="0.2">
      <c r="A427" s="4"/>
    </row>
    <row r="428" spans="1:1" x14ac:dyDescent="0.2">
      <c r="A428" s="4"/>
    </row>
    <row r="429" spans="1:1" x14ac:dyDescent="0.2">
      <c r="A429" s="4"/>
    </row>
    <row r="430" spans="1:1" x14ac:dyDescent="0.2">
      <c r="A430" s="4"/>
    </row>
    <row r="431" spans="1:1" x14ac:dyDescent="0.2">
      <c r="A431" s="4"/>
    </row>
    <row r="432" spans="1:1" x14ac:dyDescent="0.2">
      <c r="A432" s="4"/>
    </row>
    <row r="433" spans="1:1" x14ac:dyDescent="0.2">
      <c r="A433" s="4"/>
    </row>
    <row r="434" spans="1:1" x14ac:dyDescent="0.2">
      <c r="A434" s="4"/>
    </row>
    <row r="435" spans="1:1" x14ac:dyDescent="0.2">
      <c r="A435" s="4"/>
    </row>
    <row r="436" spans="1:1" x14ac:dyDescent="0.2">
      <c r="A436" s="4"/>
    </row>
    <row r="437" spans="1:1" x14ac:dyDescent="0.2">
      <c r="A437" s="4"/>
    </row>
    <row r="438" spans="1:1" x14ac:dyDescent="0.2">
      <c r="A438" s="4"/>
    </row>
    <row r="439" spans="1:1" x14ac:dyDescent="0.2">
      <c r="A439" s="4"/>
    </row>
    <row r="440" spans="1:1" x14ac:dyDescent="0.2">
      <c r="A440" s="4"/>
    </row>
    <row r="441" spans="1:1" x14ac:dyDescent="0.2">
      <c r="A441" s="4"/>
    </row>
    <row r="442" spans="1:1" x14ac:dyDescent="0.2">
      <c r="A442" s="4"/>
    </row>
    <row r="443" spans="1:1" x14ac:dyDescent="0.2">
      <c r="A443" s="4"/>
    </row>
    <row r="444" spans="1:1" x14ac:dyDescent="0.2">
      <c r="A444" s="4"/>
    </row>
    <row r="445" spans="1:1" x14ac:dyDescent="0.2">
      <c r="A445" s="4"/>
    </row>
    <row r="446" spans="1:1" x14ac:dyDescent="0.2">
      <c r="A446" s="4"/>
    </row>
    <row r="447" spans="1:1" x14ac:dyDescent="0.2">
      <c r="A447" s="4"/>
    </row>
    <row r="448" spans="1:1" x14ac:dyDescent="0.2">
      <c r="A448" s="4"/>
    </row>
    <row r="449" spans="1:1" x14ac:dyDescent="0.2">
      <c r="A449" s="4"/>
    </row>
    <row r="450" spans="1:1" x14ac:dyDescent="0.2">
      <c r="A450" s="4"/>
    </row>
    <row r="451" spans="1:1" x14ac:dyDescent="0.2">
      <c r="A451" s="4"/>
    </row>
    <row r="452" spans="1:1" x14ac:dyDescent="0.2">
      <c r="A452" s="4"/>
    </row>
    <row r="453" spans="1:1" x14ac:dyDescent="0.2">
      <c r="A453" s="4"/>
    </row>
    <row r="454" spans="1:1" x14ac:dyDescent="0.2">
      <c r="A454" s="4"/>
    </row>
    <row r="455" spans="1:1" x14ac:dyDescent="0.2">
      <c r="A455" s="4"/>
    </row>
    <row r="456" spans="1:1" x14ac:dyDescent="0.2">
      <c r="A456" s="4"/>
    </row>
    <row r="457" spans="1:1" x14ac:dyDescent="0.2">
      <c r="A457" s="4"/>
    </row>
    <row r="458" spans="1:1" x14ac:dyDescent="0.2">
      <c r="A458" s="4"/>
    </row>
    <row r="459" spans="1:1" x14ac:dyDescent="0.2">
      <c r="A459" s="4"/>
    </row>
    <row r="460" spans="1:1" x14ac:dyDescent="0.2">
      <c r="A460" s="4"/>
    </row>
    <row r="461" spans="1:1" x14ac:dyDescent="0.2">
      <c r="A461" s="4"/>
    </row>
    <row r="462" spans="1:1" x14ac:dyDescent="0.2">
      <c r="A462" s="4"/>
    </row>
    <row r="463" spans="1:1" x14ac:dyDescent="0.2">
      <c r="A463" s="4"/>
    </row>
    <row r="464" spans="1:1" x14ac:dyDescent="0.2">
      <c r="A464" s="4"/>
    </row>
    <row r="465" spans="1:1" x14ac:dyDescent="0.2">
      <c r="A465" s="4"/>
    </row>
    <row r="466" spans="1:1" x14ac:dyDescent="0.2">
      <c r="A466" s="4"/>
    </row>
    <row r="467" spans="1:1" x14ac:dyDescent="0.2">
      <c r="A467" s="4"/>
    </row>
    <row r="468" spans="1:1" x14ac:dyDescent="0.2">
      <c r="A468" s="4"/>
    </row>
    <row r="469" spans="1:1" x14ac:dyDescent="0.2">
      <c r="A469" s="4"/>
    </row>
    <row r="470" spans="1:1" x14ac:dyDescent="0.2">
      <c r="A470" s="4"/>
    </row>
    <row r="471" spans="1:1" x14ac:dyDescent="0.2">
      <c r="A471" s="4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4"/>
    </row>
    <row r="600" spans="1:1" x14ac:dyDescent="0.2">
      <c r="A600" s="4"/>
    </row>
    <row r="601" spans="1:1" x14ac:dyDescent="0.2">
      <c r="A601" s="4"/>
    </row>
    <row r="602" spans="1:1" x14ac:dyDescent="0.2">
      <c r="A602" s="4"/>
    </row>
    <row r="603" spans="1:1" x14ac:dyDescent="0.2">
      <c r="A603" s="4"/>
    </row>
    <row r="604" spans="1:1" x14ac:dyDescent="0.2">
      <c r="A604" s="4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07C5F5-4589-411B-8E98-6464F0C05EF1}">
  <ds:schemaRefs>
    <ds:schemaRef ds:uri="http://schemas.microsoft.com/office/2006/metadata/properties"/>
    <ds:schemaRef ds:uri="http://schemas.microsoft.com/office/infopath/2007/PartnerControls"/>
    <ds:schemaRef ds:uri="4b0c7577-6c1b-478c-923a-a650d6d013be"/>
    <ds:schemaRef ds:uri="0feec21d-23b4-4c00-874b-59d5ed798470"/>
  </ds:schemaRefs>
</ds:datastoreItem>
</file>

<file path=customXml/itemProps2.xml><?xml version="1.0" encoding="utf-8"?>
<ds:datastoreItem xmlns:ds="http://schemas.openxmlformats.org/officeDocument/2006/customXml" ds:itemID="{06697652-9D37-45BC-A034-FCF062FE71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BEC5CD-4C29-4F28-B9B6-A379C7B1C7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ec21d-23b4-4c00-874b-59d5ed798470"/>
    <ds:schemaRef ds:uri="4b0c7577-6c1b-478c-923a-a650d6d01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KSAT_Measurement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Patel, Kaizad F</cp:lastModifiedBy>
  <dcterms:created xsi:type="dcterms:W3CDTF">2017-12-12T14:35:01Z</dcterms:created>
  <dcterms:modified xsi:type="dcterms:W3CDTF">2026-08-18T02:45:15Z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
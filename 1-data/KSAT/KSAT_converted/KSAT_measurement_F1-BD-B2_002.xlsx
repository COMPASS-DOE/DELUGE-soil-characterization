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30" windowWidth="21600" windowHeight="13440" xr2:uid="{00000000-000D-0000-FFFF-FFFF00000000}"/>
  </bookViews>
  <sheets>
    <sheet name="KSAT_Measu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<sst xmlns="http://schemas.openxmlformats.org/spreadsheetml/2006/main" count="107" uniqueCount="107">
  <si>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</si>
  <si>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</si>
  <si>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</si>
  <si>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</si>
  <si>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</si>
  <si>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</si>
  <si>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0.0</t>
  </si>
  <si>
    <t>Last setting of the zero point</t>
  </si>
  <si>
    <t>40909</t>
  </si>
  <si>
    <t>Serial Number</t>
  </si>
  <si>
    <t>0000</t>
  </si>
  <si>
    <t>File name</t>
  </si>
  <si>
    <t>KSAT_measurement_F1-BD-B2_002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</si>
  <si>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</si>
  <si>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</si>
  <si>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</si>
  <si>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</si>
  <si>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</si>
  <si>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</si>
  <si>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</si>
  <si>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</si>
  <si>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</si>
  <si>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</si>
  <si>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</si>
  <si>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</si>
  <si>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</si>
  <si>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</si>
  <si>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</si>
  <si>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</si>
  <si>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</si>
  <si>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</si>
  <si>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</si>
  <si>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</si>
  <si>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</si>
  <si>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</si>
  <si>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</si>
  <si>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</si>
  <si>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</si>
  <si>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</si>
  <si>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</si>
  <si>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</si>
  <si>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</si>
  <si>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</si>
  <si>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</si>
  <si>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</si>
  <si>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</si>
  <si>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</si>
  <si>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</si>
  <si>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</si>
  <si>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</si>
  <si>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</si>
  <si>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</si>
  <si>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</si>
  <si>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</si>
  <si>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</si>
  <si>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</si>
  <si>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</si>
  <si>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</si>
  <si>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</si>
  <si>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</si>
  <si>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</si>
  <si>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</si>
  <si>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</si>
  <si>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</si>
  <si>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</si>
  <si>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10/16/2025 4:19:53 PM</t>
  </si>
  <si>
    <t>Test duration</t>
  </si>
  <si>
    <t>00:10:41</t>
  </si>
  <si>
    <t>RESULT</t>
  </si>
  <si>
    <t>Use auto offset adjustment</t>
  </si>
  <si>
    <t>Max offset adjustment [cm]</t>
  </si>
  <si>
    <t>1</t>
  </si>
  <si>
    <t>Fitting Parameter a [cm]</t>
  </si>
  <si>
    <t>17.55</t>
  </si>
  <si>
    <t>coefficient a of the fitted exponential pressure head decrease function y = a * exp(-b*t)+c, where y is the pressure head in cm and t is time in s</t>
  </si>
  <si>
    <t>Fitting Parameter b [s-1]</t>
  </si>
  <si>
    <t>-2.11E-03</t>
  </si>
  <si>
    <t>coefficient b of the fitted exponential pressure head decrease function y = a * exp(-b*t)+c, where y is the pressure head in cm and t is time in s</t>
  </si>
  <si>
    <t>Fitting Parameter c [cm]</t>
  </si>
  <si>
    <t>0.4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</si>
  <si>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</si>
  <si>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</si>
  <si>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</si>
  <si>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</si>
  <si>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</si>
  <si>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261.291</t>
  </si>
  <si>
    <t>Saturated hydraulic conductivity [cm/d] of the entire system</t>
  </si>
  <si>
    <t>Ks Total [m/s]</t>
  </si>
  <si>
    <t>3.04E-05</t>
  </si>
  <si>
    <t>Saturated hydraulic conductivity [m/s] of the entire system</t>
  </si>
  <si>
    <t>Ks Soil [cm/d]</t>
  </si>
  <si>
    <t>215.647</t>
  </si>
  <si>
    <t>Saturated hydraulic conductivity [cm/d] of the soil sample itself</t>
  </si>
  <si>
    <t>Ks Soil [m/s]</t>
  </si>
  <si>
    <t>2.51E-05</t>
  </si>
  <si>
    <t>Saturated hydraulic conductivity [m/s] of the soil sample itself</t>
  </si>
  <si>
    <t>211.800</t>
  </si>
  <si>
    <t>Saturated hydraulic conductivity [cm/d] of the soil sample  normalized to 10 °C mean field temperature</t>
  </si>
  <si>
    <t>2.46E-05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</si>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</sst>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8">
    <xf numFmtId="0" fontId="0" fillId="0" borderId="0" xfId="0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1" fontId="0" fillId="0" borderId="0" xfId="0" applyNumberFormat="1" applyFill="1" applyAlignment="1" applyProtection="1"/>
    <xf numFmtId="21" fontId="0" fillId="0" borderId="0" xfId="0" applyNumberFormat="1" applyFill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defaultColWidth="11.42578125" defaultRowHeight="15"/>
  <cols>
    <col min="1" max="1" width="39.7109375" style="1" customWidth="1"/>
    <col min="2" max="2" width="27" style="1" bestFit="1" customWidth="1"/>
    <col min="3" max="3" width="31.85546875" style="1" bestFit="1" customWidth="1"/>
    <col min="4" max="4" width="18.28515625" style="1" bestFit="1" customWidth="1"/>
    <col min="5" max="5" width="11.140625" style="1" bestFit="1" customWidth="1"/>
    <col min="6" max="6" width="16.42578125" style="1" bestFit="1" customWidth="1"/>
  </cols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3" t="s">
        <v>8</v>
      </c>
    </row>
    <row r="6" spans="1:2">
      <c r="A6" s="1" t="s">
        <v>9</v>
      </c>
      <c r="B6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</row>
    <row r="11" spans="1:2">
      <c r="A11" s="1" t="s">
        <v>14</v>
      </c>
    </row>
    <row r="12" spans="1:2">
      <c r="A12" s="1" t="s">
        <v>15</v>
      </c>
      <c r="B12" s="1" t="s">
        <v>16</v>
      </c>
    </row>
    <row r="13" spans="1:2">
      <c r="A13" s="1" t="s">
        <v>17</v>
      </c>
      <c r="B13" s="1" t="s">
        <v>18</v>
      </c>
    </row>
    <row r="14" spans="1:2">
      <c r="A14" s="1" t="s">
        <v>19</v>
      </c>
      <c r="B14" s="1" t="s">
        <v>20</v>
      </c>
    </row>
    <row r="15" spans="1:2">
      <c r="A15" s="1" t="s">
        <v>21</v>
      </c>
      <c r="B15" s="1" t="b">
        <v>0</v>
      </c>
    </row>
    <row r="17" spans="1:3">
      <c r="A17" s="1" t="s">
        <v>22</v>
      </c>
    </row>
    <row r="18" spans="1:3">
      <c r="A18" s="1" t="s">
        <v>23</v>
      </c>
    </row>
    <row r="19" spans="1:3">
      <c r="A19" s="1" t="s">
        <v>24</v>
      </c>
      <c r="B19" s="1">
        <v>0.5</v>
      </c>
      <c r="C19" s="1" t="s">
        <v>25</v>
      </c>
    </row>
    <row r="20" spans="1:3">
      <c r="A20" s="1" t="s">
        <v>26</v>
      </c>
      <c r="B20" s="1" t="s">
        <v>27</v>
      </c>
      <c r="C20" s="1" t="s">
        <v>28</v>
      </c>
    </row>
    <row r="21" spans="1:3">
      <c r="A21" s="1" t="s">
        <v>29</v>
      </c>
      <c r="B21" s="1" t="s">
        <v>30</v>
      </c>
      <c r="C21" s="1" t="s">
        <v>31</v>
      </c>
    </row>
    <row r="22" spans="1:3">
      <c r="A22" s="1" t="s">
        <v>32</v>
      </c>
      <c r="B22" s="1">
        <v>1</v>
      </c>
      <c r="C22" s="1" t="s">
        <v>33</v>
      </c>
    </row>
    <row r="23" spans="1:3">
      <c r="A23" s="1" t="s">
        <v>34</v>
      </c>
    </row>
    <row r="24" spans="1:3">
      <c r="A24" s="1" t="s">
        <v>35</v>
      </c>
      <c r="B24" s="1" t="s">
        <v>36</v>
      </c>
      <c r="C24" s="1" t="s">
        <v>37</v>
      </c>
    </row>
    <row r="25" spans="1:3">
      <c r="A25" s="1" t="s">
        <v>38</v>
      </c>
      <c r="B25" s="1" t="s">
        <v>39</v>
      </c>
      <c r="C25" s="1" t="s">
        <v>40</v>
      </c>
    </row>
    <row r="26" spans="1:3">
      <c r="A26" s="1" t="s">
        <v>41</v>
      </c>
      <c r="B26" s="1">
        <v>19.600000381469702</v>
      </c>
      <c r="C26" s="1" t="s">
        <v>42</v>
      </c>
    </row>
    <row r="27" spans="1:3">
      <c r="A27" s="1" t="s">
        <v>43</v>
      </c>
      <c r="B27" s="1">
        <v>22.5</v>
      </c>
      <c r="C27" s="1" t="s">
        <v>44</v>
      </c>
    </row>
    <row r="28" spans="1:3">
      <c r="A28" s="1" t="s">
        <v>45</v>
      </c>
      <c r="B28" s="1">
        <v>5.0999999046325701</v>
      </c>
      <c r="C28" s="1" t="s">
        <v>46</v>
      </c>
    </row>
    <row r="29" spans="1:3">
      <c r="A29" s="1" t="s">
        <v>47</v>
      </c>
      <c r="B29" s="1" t="s">
        <v>48</v>
      </c>
      <c r="C29" s="1" t="s">
        <v>49</v>
      </c>
    </row>
    <row r="30" spans="1:3">
      <c r="A30" s="1" t="s">
        <v>50</v>
      </c>
      <c r="B30" s="1" t="s">
        <v>51</v>
      </c>
      <c r="C30" s="1" t="s">
        <v>52</v>
      </c>
    </row>
    <row r="31" spans="1:3">
      <c r="A31" s="1" t="s">
        <v>53</v>
      </c>
    </row>
    <row r="32" spans="1:3">
      <c r="A32" s="1" t="s">
        <v>54</v>
      </c>
      <c r="B32" s="1">
        <v>20</v>
      </c>
      <c r="C32" s="1" t="s">
        <v>55</v>
      </c>
    </row>
    <row r="33" spans="1:3">
      <c r="A33" s="1" t="s">
        <v>56</v>
      </c>
      <c r="B33" s="1">
        <v>14000</v>
      </c>
      <c r="C33" s="1" t="s">
        <v>57</v>
      </c>
    </row>
    <row r="34" spans="1:3">
      <c r="A34" s="1" t="s">
        <v>58</v>
      </c>
      <c r="B34" s="1" t="b">
        <v>1</v>
      </c>
      <c r="C34" s="1" t="s">
        <v>59</v>
      </c>
    </row>
    <row r="35" spans="1:3">
      <c r="A35" s="1" t="s">
        <v>60</v>
      </c>
      <c r="B35" s="1">
        <v>1</v>
      </c>
      <c r="C35" s="1" t="s">
        <v>61</v>
      </c>
    </row>
    <row r="36" spans="1:3">
      <c r="A36" s="1" t="s">
        <v>62</v>
      </c>
      <c r="B36" s="1">
        <v>1</v>
      </c>
      <c r="C36" s="1" t="s">
        <v>63</v>
      </c>
    </row>
    <row r="37" spans="1:3">
      <c r="A37" s="1" t="s">
        <v>64</v>
      </c>
      <c r="B37" s="5" t="s">
        <v>65</v>
      </c>
    </row>
    <row r="38" spans="1:3">
      <c r="A38" s="1" t="s">
        <v>66</v>
      </c>
      <c r="B38" s="7" t="s">
        <v>67</v>
      </c>
    </row>
    <row r="40" spans="1:3">
      <c r="A40" s="1" t="s">
        <v>68</v>
      </c>
    </row>
    <row r="41" spans="1:3">
      <c r="A41" s="1" t="s">
        <v>69</v>
      </c>
      <c r="B41" s="1" t="b">
        <v>1</v>
      </c>
    </row>
    <row r="42" spans="1:3">
      <c r="A42" s="1" t="s">
        <v>70</v>
      </c>
      <c r="B42" s="1" t="s">
        <v>71</v>
      </c>
    </row>
    <row r="43" spans="1:3">
      <c r="A43" s="1" t="s">
        <v>72</v>
      </c>
      <c r="B43" s="1" t="s">
        <v>73</v>
      </c>
      <c r="C43" s="1" t="s">
        <v>74</v>
      </c>
    </row>
    <row r="44" spans="1:3">
      <c r="A44" s="1" t="s">
        <v>75</v>
      </c>
      <c r="B44" s="6" t="s">
        <v>76</v>
      </c>
      <c r="C44" s="6" t="s">
        <v>77</v>
      </c>
    </row>
    <row r="45" spans="1:3">
      <c r="A45" s="1" t="s">
        <v>78</v>
      </c>
      <c r="B45" s="1" t="s">
        <v>79</v>
      </c>
      <c r="C45" s="1" t="s">
        <v>80</v>
      </c>
    </row>
    <row r="46" spans="1:3">
      <c r="A46" s="1" t="s">
        <v>81</v>
      </c>
      <c r="B46" s="1" t="s">
        <v>82</v>
      </c>
      <c r="C46" s="1" t="s">
        <v>83</v>
      </c>
    </row>
    <row r="47" spans="1:3">
      <c r="A47" s="1" t="s">
        <v>84</v>
      </c>
      <c r="B47" s="1" t="s">
        <v>85</v>
      </c>
      <c r="C47" s="1" t="s">
        <v>86</v>
      </c>
    </row>
    <row r="48" spans="1:3">
      <c r="A48" s="1" t="s">
        <v>87</v>
      </c>
      <c r="B48" s="6" t="s">
        <v>88</v>
      </c>
      <c r="C48" s="6" t="s">
        <v>89</v>
      </c>
    </row>
    <row r="49" spans="1:6">
      <c r="A49" s="1" t="s">
        <v>90</v>
      </c>
      <c r="B49" s="1" t="s">
        <v>91</v>
      </c>
      <c r="C49" s="1" t="s">
        <v>92</v>
      </c>
    </row>
    <row r="50" spans="1:6">
      <c r="A50" s="1" t="s">
        <v>93</v>
      </c>
      <c r="B50" s="6" t="s">
        <v>94</v>
      </c>
      <c r="C50" s="6" t="s">
        <v>95</v>
      </c>
    </row>
    <row r="51" spans="1:6">
      <c r="A51" s="1" t="str">
        <f>CONCATENATE("Ks Soil normalized at ",B32," °C [cm/d]")</f>
        <v>Ks Soil normalized at 20 °C [cm/d]</v>
      </c>
      <c r="B51" s="1" t="s">
        <v>96</v>
      </c>
      <c r="C51" s="1" t="s">
        <v>97</v>
      </c>
    </row>
    <row r="52" spans="1:6">
      <c r="A52" s="1" t="str">
        <f>CONCATENATE("Ks Soil normalized at ",B32," °C [m/s]")</f>
        <v>Ks Soil normalized at 20 °C [m/s]</v>
      </c>
      <c r="B52" s="6" t="s">
        <v>98</v>
      </c>
      <c r="C52" s="6" t="s">
        <v>99</v>
      </c>
    </row>
    <row r="54" spans="1:6">
      <c r="A54" s="1" t="s">
        <v>100</v>
      </c>
    </row>
    <row r="55" spans="1:6">
      <c r="A55" s="5" t="s">
        <v>101</v>
      </c>
      <c r="B55" s="1" t="s">
        <v>102</v>
      </c>
      <c r="C55" s="1" t="s">
        <v>103</v>
      </c>
      <c r="D55" s="1" t="s">
        <v>104</v>
      </c>
      <c r="E55" s="1" t="s">
        <v>105</v>
      </c>
      <c r="F55" s="1" t="s">
        <v>106</v>
      </c>
    </row>
    <row r="56" spans="1:6">
      <c r="A56" s="4">
        <v>45946.680477881899</v>
      </c>
      <c r="B56" s="1">
        <v>289</v>
      </c>
      <c r="C56" s="1">
        <v>-7.04</v>
      </c>
      <c r="D56" s="1">
        <v>7.2569999999999997</v>
      </c>
      <c r="E56" s="1">
        <v>-99999</v>
      </c>
      <c r="F56" s="1">
        <v>20.75</v>
      </c>
    </row>
    <row r="57" spans="1:6">
      <c r="A57" s="4">
        <v>45946.680548483797</v>
      </c>
      <c r="B57" s="1">
        <v>389</v>
      </c>
      <c r="C57" s="1">
        <v>-0.94</v>
      </c>
      <c r="D57" s="1">
        <v>17.173999999999999</v>
      </c>
      <c r="E57" s="1">
        <v>-99999</v>
      </c>
      <c r="F57" s="1">
        <v>20.75</v>
      </c>
    </row>
    <row r="58" spans="1:6">
      <c r="A58" s="4">
        <v>45946.680559363398</v>
      </c>
      <c r="B58" s="1">
        <v>329</v>
      </c>
      <c r="C58" s="1">
        <v>0</v>
      </c>
      <c r="D58" s="1">
        <v>17.148</v>
      </c>
      <c r="E58" s="1">
        <v>17.148</v>
      </c>
      <c r="F58" s="1">
        <v>20.75</v>
      </c>
    </row>
    <row r="59" spans="1:6">
      <c r="A59" s="4">
        <v>45946.680595127298</v>
      </c>
      <c r="B59" s="1">
        <v>419</v>
      </c>
      <c r="C59" s="1">
        <v>3.09</v>
      </c>
      <c r="D59" s="1">
        <v>17.044</v>
      </c>
      <c r="E59" s="1">
        <v>17.033999999999999</v>
      </c>
      <c r="F59" s="1">
        <v>20.75</v>
      </c>
    </row>
    <row r="60" spans="1:6">
      <c r="A60" s="4">
        <v>45946.680624294</v>
      </c>
      <c r="B60" s="1">
        <v>939</v>
      </c>
      <c r="C60" s="1">
        <v>5.61</v>
      </c>
      <c r="D60" s="1">
        <v>16.936</v>
      </c>
      <c r="E60" s="1">
        <v>16.940999999999999</v>
      </c>
      <c r="F60" s="1">
        <v>20.75</v>
      </c>
    </row>
    <row r="61" spans="1:6">
      <c r="A61" s="4">
        <v>45946.680664907399</v>
      </c>
      <c r="B61" s="1">
        <v>448</v>
      </c>
      <c r="C61" s="1">
        <v>9.1199999999999992</v>
      </c>
      <c r="D61" s="1">
        <v>16.806999999999999</v>
      </c>
      <c r="E61" s="1">
        <v>16.812999999999999</v>
      </c>
      <c r="F61" s="1">
        <v>20.75</v>
      </c>
    </row>
    <row r="62" spans="1:6">
      <c r="A62" s="4">
        <v>45946.680694189803</v>
      </c>
      <c r="B62" s="1">
        <v>978</v>
      </c>
      <c r="C62" s="1">
        <v>11.65</v>
      </c>
      <c r="D62" s="1">
        <v>16.702999999999999</v>
      </c>
      <c r="E62" s="1">
        <v>16.721</v>
      </c>
      <c r="F62" s="1">
        <v>20.75</v>
      </c>
    </row>
    <row r="63" spans="1:6">
      <c r="A63" s="4">
        <v>45946.680735972201</v>
      </c>
      <c r="B63" s="1">
        <v>588</v>
      </c>
      <c r="C63" s="1">
        <v>15.26</v>
      </c>
      <c r="D63" s="1">
        <v>16.59</v>
      </c>
      <c r="E63" s="1">
        <v>16.591000000000001</v>
      </c>
      <c r="F63" s="1">
        <v>20.75</v>
      </c>
    </row>
    <row r="64" spans="1:6">
      <c r="A64" s="4">
        <v>45946.680777060203</v>
      </c>
      <c r="B64" s="1">
        <v>138</v>
      </c>
      <c r="C64" s="1">
        <v>18.809999999999999</v>
      </c>
      <c r="D64" s="1">
        <v>16.459</v>
      </c>
      <c r="E64" s="1">
        <v>16.463999999999999</v>
      </c>
      <c r="F64" s="1">
        <v>20.75</v>
      </c>
    </row>
    <row r="65" spans="1:6">
      <c r="A65" s="4">
        <v>45946.680818576402</v>
      </c>
      <c r="B65" s="1">
        <v>725</v>
      </c>
      <c r="C65" s="1">
        <v>22.4</v>
      </c>
      <c r="D65" s="1">
        <v>16.332000000000001</v>
      </c>
      <c r="E65" s="1">
        <v>16.337</v>
      </c>
      <c r="F65" s="1">
        <v>20.75</v>
      </c>
    </row>
    <row r="66" spans="1:6">
      <c r="A66" s="4">
        <v>45946.680847974501</v>
      </c>
      <c r="B66" s="1">
        <v>265</v>
      </c>
      <c r="C66" s="1">
        <v>24.94</v>
      </c>
      <c r="D66" s="1">
        <v>16.228999999999999</v>
      </c>
      <c r="E66" s="1">
        <v>16.247</v>
      </c>
      <c r="F66" s="1">
        <v>20.75</v>
      </c>
    </row>
    <row r="67" spans="1:6">
      <c r="A67" s="4">
        <v>45946.680887615701</v>
      </c>
      <c r="B67" s="1">
        <v>690</v>
      </c>
      <c r="C67" s="1">
        <v>28.36</v>
      </c>
      <c r="D67" s="1">
        <v>16.116</v>
      </c>
      <c r="E67" s="1">
        <v>16.126999999999999</v>
      </c>
      <c r="F67" s="1">
        <v>20.75</v>
      </c>
    </row>
    <row r="68" spans="1:6">
      <c r="A68" s="4">
        <v>45946.680938773097</v>
      </c>
      <c r="B68" s="1">
        <v>110</v>
      </c>
      <c r="C68" s="1">
        <v>32.78</v>
      </c>
      <c r="D68" s="1">
        <v>15.936</v>
      </c>
      <c r="E68" s="1">
        <v>15.974</v>
      </c>
      <c r="F68" s="1">
        <v>20.75</v>
      </c>
    </row>
    <row r="69" spans="1:6">
      <c r="A69" s="4">
        <v>45946.680990162</v>
      </c>
      <c r="B69" s="1">
        <v>550</v>
      </c>
      <c r="C69" s="1">
        <v>37.22</v>
      </c>
      <c r="D69" s="1">
        <v>15.815</v>
      </c>
      <c r="E69" s="1">
        <v>15.821</v>
      </c>
      <c r="F69" s="1">
        <v>20.75</v>
      </c>
    </row>
    <row r="70" spans="1:6">
      <c r="A70" s="4">
        <v>45946.6810311343</v>
      </c>
      <c r="B70" s="1">
        <v>90</v>
      </c>
      <c r="C70" s="1">
        <v>40.76</v>
      </c>
      <c r="D70" s="1">
        <v>15.702</v>
      </c>
      <c r="E70" s="1">
        <v>15.7</v>
      </c>
      <c r="F70" s="1">
        <v>20.75</v>
      </c>
    </row>
    <row r="71" spans="1:6">
      <c r="A71" s="4">
        <v>45946.681072106498</v>
      </c>
      <c r="B71" s="1">
        <v>630</v>
      </c>
      <c r="C71" s="1">
        <v>44.3</v>
      </c>
      <c r="D71" s="1">
        <v>15.569000000000001</v>
      </c>
      <c r="E71" s="1">
        <v>15.58</v>
      </c>
      <c r="F71" s="1">
        <v>20.75</v>
      </c>
    </row>
    <row r="72" spans="1:6">
      <c r="A72" s="4">
        <v>45946.681114236097</v>
      </c>
      <c r="B72" s="1">
        <v>270</v>
      </c>
      <c r="C72" s="1">
        <v>47.94</v>
      </c>
      <c r="D72" s="1">
        <v>15.452999999999999</v>
      </c>
      <c r="E72" s="1">
        <v>15.457000000000001</v>
      </c>
      <c r="F72" s="1">
        <v>20.75</v>
      </c>
    </row>
    <row r="73" spans="1:6">
      <c r="A73" s="4">
        <v>45946.6811550926</v>
      </c>
      <c r="B73" s="1">
        <v>800</v>
      </c>
      <c r="C73" s="1">
        <v>51.47</v>
      </c>
      <c r="D73" s="1">
        <v>15.343</v>
      </c>
      <c r="E73" s="1">
        <v>15.339</v>
      </c>
      <c r="F73" s="1">
        <v>20.75</v>
      </c>
    </row>
    <row r="74" spans="1:6">
      <c r="A74" s="4">
        <v>45946.681197210703</v>
      </c>
      <c r="B74" s="1">
        <v>439</v>
      </c>
      <c r="C74" s="1">
        <v>55.11</v>
      </c>
      <c r="D74" s="1">
        <v>15.223000000000001</v>
      </c>
      <c r="E74" s="1">
        <v>15.218999999999999</v>
      </c>
      <c r="F74" s="1">
        <v>20.76</v>
      </c>
    </row>
    <row r="75" spans="1:6">
      <c r="A75" s="4">
        <v>45946.681239455997</v>
      </c>
      <c r="B75" s="1">
        <v>89</v>
      </c>
      <c r="C75" s="1">
        <v>58.76</v>
      </c>
      <c r="D75" s="1">
        <v>15.109</v>
      </c>
      <c r="E75" s="1">
        <v>15.099</v>
      </c>
      <c r="F75" s="1">
        <v>20.76</v>
      </c>
    </row>
    <row r="76" spans="1:6">
      <c r="A76" s="4">
        <v>45946.681280196797</v>
      </c>
      <c r="B76" s="1">
        <v>609</v>
      </c>
      <c r="C76" s="1">
        <v>62.28</v>
      </c>
      <c r="D76" s="1">
        <v>14.984</v>
      </c>
      <c r="E76" s="1">
        <v>14.984</v>
      </c>
      <c r="F76" s="1">
        <v>20.76</v>
      </c>
    </row>
    <row r="77" spans="1:6">
      <c r="A77" s="4">
        <v>45946.681320937503</v>
      </c>
      <c r="B77" s="1">
        <v>129</v>
      </c>
      <c r="C77" s="1">
        <v>65.8</v>
      </c>
      <c r="D77" s="1">
        <v>14.855</v>
      </c>
      <c r="E77" s="1">
        <v>14.87</v>
      </c>
      <c r="F77" s="1">
        <v>20.76</v>
      </c>
    </row>
    <row r="78" spans="1:6">
      <c r="A78" s="4">
        <v>45946.681362719901</v>
      </c>
      <c r="B78" s="1">
        <v>739</v>
      </c>
      <c r="C78" s="1">
        <v>69.41</v>
      </c>
      <c r="D78" s="1">
        <v>14.742000000000001</v>
      </c>
      <c r="E78" s="1">
        <v>14.754</v>
      </c>
      <c r="F78" s="1">
        <v>20.76</v>
      </c>
    </row>
    <row r="79" spans="1:6">
      <c r="A79" s="4">
        <v>45946.681414108803</v>
      </c>
      <c r="B79" s="1">
        <v>179</v>
      </c>
      <c r="C79" s="1">
        <v>73.849999999999994</v>
      </c>
      <c r="D79" s="1">
        <v>14.621</v>
      </c>
      <c r="E79" s="1">
        <v>14.612</v>
      </c>
      <c r="F79" s="1">
        <v>20.76</v>
      </c>
    </row>
    <row r="80" spans="1:6">
      <c r="A80" s="4">
        <v>45946.681454618098</v>
      </c>
      <c r="B80" s="1">
        <v>679</v>
      </c>
      <c r="C80" s="1">
        <v>77.349999999999994</v>
      </c>
      <c r="D80" s="1">
        <v>14.502000000000001</v>
      </c>
      <c r="E80" s="1">
        <v>14.502000000000001</v>
      </c>
      <c r="F80" s="1">
        <v>20.76</v>
      </c>
    </row>
    <row r="81" spans="1:6">
      <c r="A81" s="4">
        <v>45946.681495925899</v>
      </c>
      <c r="B81" s="1">
        <v>248</v>
      </c>
      <c r="C81" s="1">
        <v>80.92</v>
      </c>
      <c r="D81" s="1">
        <v>14.382</v>
      </c>
      <c r="E81" s="1">
        <v>14.39</v>
      </c>
      <c r="F81" s="1">
        <v>20.76</v>
      </c>
    </row>
    <row r="82" spans="1:6">
      <c r="A82" s="4">
        <v>45946.681547083303</v>
      </c>
      <c r="B82" s="1">
        <v>668</v>
      </c>
      <c r="C82" s="1">
        <v>85.34</v>
      </c>
      <c r="D82" s="1">
        <v>14.263</v>
      </c>
      <c r="E82" s="1">
        <v>14.252000000000001</v>
      </c>
      <c r="F82" s="1">
        <v>20.75</v>
      </c>
    </row>
    <row r="83" spans="1:6">
      <c r="A83" s="4">
        <v>45946.681588171297</v>
      </c>
      <c r="B83" s="1">
        <v>218</v>
      </c>
      <c r="C83" s="1">
        <v>88.89</v>
      </c>
      <c r="D83" s="1">
        <v>14.132</v>
      </c>
      <c r="E83" s="1">
        <v>14.143000000000001</v>
      </c>
      <c r="F83" s="1">
        <v>20.75</v>
      </c>
    </row>
    <row r="84" spans="1:6">
      <c r="A84" s="4">
        <v>45946.681629606501</v>
      </c>
      <c r="B84" s="1">
        <v>798</v>
      </c>
      <c r="C84" s="1">
        <v>92.47</v>
      </c>
      <c r="D84" s="1">
        <v>14.029</v>
      </c>
      <c r="E84" s="1">
        <v>14.032999999999999</v>
      </c>
      <c r="F84" s="1">
        <v>20.75</v>
      </c>
    </row>
    <row r="85" spans="1:6">
      <c r="A85" s="4">
        <v>45946.681669999998</v>
      </c>
      <c r="B85" s="1">
        <v>288</v>
      </c>
      <c r="C85" s="1">
        <v>95.96</v>
      </c>
      <c r="D85" s="1">
        <v>13.922000000000001</v>
      </c>
      <c r="E85" s="1">
        <v>13.927</v>
      </c>
      <c r="F85" s="1">
        <v>20.76</v>
      </c>
    </row>
    <row r="86" spans="1:6">
      <c r="A86" s="4">
        <v>45946.681711203702</v>
      </c>
      <c r="B86" s="1">
        <v>848</v>
      </c>
      <c r="C86" s="1">
        <v>99.52</v>
      </c>
      <c r="D86" s="1">
        <v>13.819000000000001</v>
      </c>
      <c r="E86" s="1">
        <v>13.82</v>
      </c>
      <c r="F86" s="1">
        <v>20.76</v>
      </c>
    </row>
    <row r="87" spans="1:6">
      <c r="A87" s="4">
        <v>45946.681752164397</v>
      </c>
      <c r="B87" s="1">
        <v>387</v>
      </c>
      <c r="C87" s="1">
        <v>103.06</v>
      </c>
      <c r="D87" s="1">
        <v>13.714</v>
      </c>
      <c r="E87" s="1">
        <v>13.714</v>
      </c>
      <c r="F87" s="1">
        <v>20.76</v>
      </c>
    </row>
    <row r="88" spans="1:6">
      <c r="A88" s="4">
        <v>45946.681803784697</v>
      </c>
      <c r="B88" s="1">
        <v>847</v>
      </c>
      <c r="C88" s="1">
        <v>107.52</v>
      </c>
      <c r="D88" s="1">
        <v>13.587</v>
      </c>
      <c r="E88" s="1">
        <v>13.581</v>
      </c>
      <c r="F88" s="1">
        <v>20.76</v>
      </c>
    </row>
    <row r="89" spans="1:6">
      <c r="A89" s="4">
        <v>45946.6818452199</v>
      </c>
      <c r="B89" s="1">
        <v>427</v>
      </c>
      <c r="C89" s="1">
        <v>111.1</v>
      </c>
      <c r="D89" s="1">
        <v>13.481</v>
      </c>
      <c r="E89" s="1">
        <v>13.476000000000001</v>
      </c>
      <c r="F89" s="1">
        <v>20.76</v>
      </c>
    </row>
    <row r="90" spans="1:6">
      <c r="A90" s="4">
        <v>45946.681885729202</v>
      </c>
      <c r="B90" s="1">
        <v>927</v>
      </c>
      <c r="C90" s="1">
        <v>114.6</v>
      </c>
      <c r="D90" s="1">
        <v>13.372999999999999</v>
      </c>
      <c r="E90" s="1">
        <v>13.374000000000001</v>
      </c>
      <c r="F90" s="1">
        <v>20.76</v>
      </c>
    </row>
    <row r="91" spans="1:6">
      <c r="A91" s="4">
        <v>45946.681937337999</v>
      </c>
      <c r="B91" s="1">
        <v>386</v>
      </c>
      <c r="C91" s="1">
        <v>119.06</v>
      </c>
      <c r="D91" s="1">
        <v>13.247</v>
      </c>
      <c r="E91" s="1">
        <v>13.244999999999999</v>
      </c>
      <c r="F91" s="1">
        <v>20.76</v>
      </c>
    </row>
    <row r="92" spans="1:6">
      <c r="A92" s="4">
        <v>45946.681978310196</v>
      </c>
      <c r="B92" s="1">
        <v>926</v>
      </c>
      <c r="C92" s="1">
        <v>122.6</v>
      </c>
      <c r="D92" s="1">
        <v>13.132999999999999</v>
      </c>
      <c r="E92" s="1">
        <v>13.143000000000001</v>
      </c>
      <c r="F92" s="1">
        <v>20.76</v>
      </c>
    </row>
    <row r="93" spans="1:6">
      <c r="A93" s="4">
        <v>45946.6820302778</v>
      </c>
      <c r="B93" s="1">
        <v>416</v>
      </c>
      <c r="C93" s="1">
        <v>127.09</v>
      </c>
      <c r="D93" s="1">
        <v>13.021000000000001</v>
      </c>
      <c r="E93" s="1">
        <v>13.015000000000001</v>
      </c>
      <c r="F93" s="1">
        <v>20.75</v>
      </c>
    </row>
    <row r="94" spans="1:6">
      <c r="A94" s="4">
        <v>45946.682071018498</v>
      </c>
      <c r="B94" s="1">
        <v>936</v>
      </c>
      <c r="C94" s="1">
        <v>130.61000000000001</v>
      </c>
      <c r="D94" s="1">
        <v>12.917999999999999</v>
      </c>
      <c r="E94" s="1">
        <v>12.916</v>
      </c>
      <c r="F94" s="1">
        <v>20.75</v>
      </c>
    </row>
    <row r="95" spans="1:6">
      <c r="A95" s="4">
        <v>45946.682111990704</v>
      </c>
      <c r="B95" s="1">
        <v>476</v>
      </c>
      <c r="C95" s="1">
        <v>134.15</v>
      </c>
      <c r="D95" s="1">
        <v>12.814</v>
      </c>
      <c r="E95" s="1">
        <v>12.816000000000001</v>
      </c>
      <c r="F95" s="1">
        <v>20.75</v>
      </c>
    </row>
    <row r="96" spans="1:6">
      <c r="A96" s="4">
        <v>45946.682163703699</v>
      </c>
      <c r="B96" s="1">
        <v>944</v>
      </c>
      <c r="C96" s="1">
        <v>138.62</v>
      </c>
      <c r="D96" s="1">
        <v>12.693</v>
      </c>
      <c r="E96" s="1">
        <v>12.692</v>
      </c>
      <c r="F96" s="1">
        <v>20.75</v>
      </c>
    </row>
    <row r="97" spans="1:6">
      <c r="A97" s="4">
        <v>45946.682211018502</v>
      </c>
      <c r="B97" s="1">
        <v>32</v>
      </c>
      <c r="C97" s="1">
        <v>142.69999999999999</v>
      </c>
      <c r="D97" s="1">
        <v>12.587999999999999</v>
      </c>
      <c r="E97" s="1">
        <v>12.58</v>
      </c>
      <c r="F97" s="1">
        <v>20.75</v>
      </c>
    </row>
    <row r="98" spans="1:6">
      <c r="A98" s="4">
        <v>45946.6822519907</v>
      </c>
      <c r="B98" s="1">
        <v>572</v>
      </c>
      <c r="C98" s="1">
        <v>146.24</v>
      </c>
      <c r="D98" s="1">
        <v>12.477</v>
      </c>
      <c r="E98" s="1">
        <v>12.483000000000001</v>
      </c>
      <c r="F98" s="1">
        <v>20.75</v>
      </c>
    </row>
    <row r="99" spans="1:6">
      <c r="A99" s="4">
        <v>45946.682305115697</v>
      </c>
      <c r="B99" s="1">
        <v>162</v>
      </c>
      <c r="C99" s="1">
        <v>150.83000000000001</v>
      </c>
      <c r="D99" s="1">
        <v>12.361000000000001</v>
      </c>
      <c r="E99" s="1">
        <v>12.358000000000001</v>
      </c>
      <c r="F99" s="1">
        <v>20.75</v>
      </c>
    </row>
    <row r="100" spans="1:6">
      <c r="A100" s="4">
        <v>45946.682357546299</v>
      </c>
      <c r="B100" s="1">
        <v>692</v>
      </c>
      <c r="C100" s="1">
        <v>155.36000000000001</v>
      </c>
      <c r="D100" s="1">
        <v>12.247</v>
      </c>
      <c r="E100" s="1">
        <v>12.237</v>
      </c>
      <c r="F100" s="1">
        <v>20.75</v>
      </c>
    </row>
    <row r="101" spans="1:6">
      <c r="A101" s="4">
        <v>45946.682409050904</v>
      </c>
      <c r="B101" s="1">
        <v>142</v>
      </c>
      <c r="C101" s="1">
        <v>159.81</v>
      </c>
      <c r="D101" s="1">
        <v>12.12</v>
      </c>
      <c r="E101" s="1">
        <v>12.119</v>
      </c>
      <c r="F101" s="1">
        <v>20.75</v>
      </c>
    </row>
    <row r="102" spans="1:6">
      <c r="A102" s="4">
        <v>45946.682461932898</v>
      </c>
      <c r="B102" s="1">
        <v>711</v>
      </c>
      <c r="C102" s="1">
        <v>164.38</v>
      </c>
      <c r="D102" s="1">
        <v>12.013</v>
      </c>
      <c r="E102" s="1">
        <v>11.997999999999999</v>
      </c>
      <c r="F102" s="1">
        <v>20.75</v>
      </c>
    </row>
    <row r="103" spans="1:6">
      <c r="A103" s="4">
        <v>45946.682502442098</v>
      </c>
      <c r="B103" s="1">
        <v>211</v>
      </c>
      <c r="C103" s="1">
        <v>167.88</v>
      </c>
      <c r="D103" s="1">
        <v>11.911</v>
      </c>
      <c r="E103" s="1">
        <v>11.907</v>
      </c>
      <c r="F103" s="1">
        <v>20.75</v>
      </c>
    </row>
    <row r="104" spans="1:6">
      <c r="A104" s="4">
        <v>45946.682554525498</v>
      </c>
      <c r="B104" s="1">
        <v>711</v>
      </c>
      <c r="C104" s="1">
        <v>172.38</v>
      </c>
      <c r="D104" s="1">
        <v>11.795999999999999</v>
      </c>
      <c r="E104" s="1">
        <v>11.79</v>
      </c>
      <c r="F104" s="1">
        <v>20.75</v>
      </c>
    </row>
    <row r="105" spans="1:6">
      <c r="A105" s="4">
        <v>45946.6826059144</v>
      </c>
      <c r="B105" s="1">
        <v>151</v>
      </c>
      <c r="C105" s="1">
        <v>176.82</v>
      </c>
      <c r="D105" s="1">
        <v>11.682</v>
      </c>
      <c r="E105" s="1">
        <v>11.677</v>
      </c>
      <c r="F105" s="1">
        <v>20.75</v>
      </c>
    </row>
    <row r="106" spans="1:6">
      <c r="A106" s="4">
        <v>45946.6826575347</v>
      </c>
      <c r="B106" s="1">
        <v>611</v>
      </c>
      <c r="C106" s="1">
        <v>181.28</v>
      </c>
      <c r="D106" s="1">
        <v>11.577</v>
      </c>
      <c r="E106" s="1">
        <v>11.563000000000001</v>
      </c>
      <c r="F106" s="1">
        <v>20.75</v>
      </c>
    </row>
    <row r="107" spans="1:6">
      <c r="A107" s="4">
        <v>45946.682709259301</v>
      </c>
      <c r="B107" s="1">
        <v>80</v>
      </c>
      <c r="C107" s="1">
        <v>185.75</v>
      </c>
      <c r="D107" s="1">
        <v>11.456</v>
      </c>
      <c r="E107" s="1">
        <v>11.451000000000001</v>
      </c>
      <c r="F107" s="1">
        <v>20.75</v>
      </c>
    </row>
    <row r="108" spans="1:6">
      <c r="A108" s="4">
        <v>45946.682761689801</v>
      </c>
      <c r="B108" s="1">
        <v>610</v>
      </c>
      <c r="C108" s="1">
        <v>190.28</v>
      </c>
      <c r="D108" s="1">
        <v>11.349</v>
      </c>
      <c r="E108" s="1">
        <v>11.337999999999999</v>
      </c>
      <c r="F108" s="1">
        <v>20.75</v>
      </c>
    </row>
    <row r="109" spans="1:6">
      <c r="A109" s="4">
        <v>45946.682813888903</v>
      </c>
      <c r="B109" s="1">
        <v>120</v>
      </c>
      <c r="C109" s="1">
        <v>194.79</v>
      </c>
      <c r="D109" s="1">
        <v>11.234999999999999</v>
      </c>
      <c r="E109" s="1">
        <v>11.227</v>
      </c>
      <c r="F109" s="1">
        <v>20.75</v>
      </c>
    </row>
    <row r="110" spans="1:6">
      <c r="A110" s="4">
        <v>45946.682865740702</v>
      </c>
      <c r="B110" s="1">
        <v>600</v>
      </c>
      <c r="C110" s="1">
        <v>199.27</v>
      </c>
      <c r="D110" s="1">
        <v>11.121</v>
      </c>
      <c r="E110" s="1">
        <v>11.117000000000001</v>
      </c>
      <c r="F110" s="1">
        <v>20.75</v>
      </c>
    </row>
    <row r="111" spans="1:6">
      <c r="A111" s="4">
        <v>45946.682916782403</v>
      </c>
      <c r="B111" s="1">
        <v>10</v>
      </c>
      <c r="C111" s="1">
        <v>203.68</v>
      </c>
      <c r="D111" s="1">
        <v>11.016</v>
      </c>
      <c r="E111" s="1">
        <v>11.01</v>
      </c>
      <c r="F111" s="1">
        <v>20.75</v>
      </c>
    </row>
    <row r="112" spans="1:6">
      <c r="A112" s="4">
        <v>45946.682968749999</v>
      </c>
      <c r="B112" s="1">
        <v>500</v>
      </c>
      <c r="C112" s="1">
        <v>208.17</v>
      </c>
      <c r="D112" s="1">
        <v>10.907999999999999</v>
      </c>
      <c r="E112" s="1">
        <v>10.901999999999999</v>
      </c>
      <c r="F112" s="1">
        <v>20.75</v>
      </c>
    </row>
    <row r="113" spans="1:6">
      <c r="A113" s="4">
        <v>45946.683032280103</v>
      </c>
      <c r="B113" s="1">
        <v>989</v>
      </c>
      <c r="C113" s="1">
        <v>213.66</v>
      </c>
      <c r="D113" s="1">
        <v>10.776</v>
      </c>
      <c r="E113" s="1">
        <v>10.772</v>
      </c>
      <c r="F113" s="1">
        <v>20.75</v>
      </c>
    </row>
    <row r="114" spans="1:6">
      <c r="A114" s="4">
        <v>45946.683094895801</v>
      </c>
      <c r="B114" s="1">
        <v>399</v>
      </c>
      <c r="C114" s="1">
        <v>219.07</v>
      </c>
      <c r="D114" s="1">
        <v>10.662000000000001</v>
      </c>
      <c r="E114" s="1">
        <v>10.645</v>
      </c>
      <c r="F114" s="1">
        <v>20.75</v>
      </c>
    </row>
    <row r="115" spans="1:6">
      <c r="A115" s="4">
        <v>45946.683147673597</v>
      </c>
      <c r="B115" s="1">
        <v>959</v>
      </c>
      <c r="C115" s="1">
        <v>223.63</v>
      </c>
      <c r="D115" s="1">
        <v>10.537000000000001</v>
      </c>
      <c r="E115" s="1">
        <v>10.539</v>
      </c>
      <c r="F115" s="1">
        <v>20.75</v>
      </c>
    </row>
    <row r="116" spans="1:6">
      <c r="A116" s="4">
        <v>45946.6832101736</v>
      </c>
      <c r="B116" s="1">
        <v>359</v>
      </c>
      <c r="C116" s="1">
        <v>229.03</v>
      </c>
      <c r="D116" s="1">
        <v>10.425000000000001</v>
      </c>
      <c r="E116" s="1">
        <v>10.414999999999999</v>
      </c>
      <c r="F116" s="1">
        <v>20.75</v>
      </c>
    </row>
    <row r="117" spans="1:6">
      <c r="A117" s="4">
        <v>45946.683261215301</v>
      </c>
      <c r="B117" s="1">
        <v>769</v>
      </c>
      <c r="C117" s="1">
        <v>233.44</v>
      </c>
      <c r="D117" s="1">
        <v>10.315</v>
      </c>
      <c r="E117" s="1">
        <v>10.315</v>
      </c>
      <c r="F117" s="1">
        <v>20.75</v>
      </c>
    </row>
    <row r="118" spans="1:6">
      <c r="A118" s="4">
        <v>45946.683324398102</v>
      </c>
      <c r="B118" s="1">
        <v>228</v>
      </c>
      <c r="C118" s="1">
        <v>238.9</v>
      </c>
      <c r="D118" s="1">
        <v>10.198</v>
      </c>
      <c r="E118" s="1">
        <v>10.192</v>
      </c>
      <c r="F118" s="1">
        <v>20.75</v>
      </c>
    </row>
    <row r="119" spans="1:6">
      <c r="A119" s="4">
        <v>45946.683375914297</v>
      </c>
      <c r="B119" s="1">
        <v>679</v>
      </c>
      <c r="C119" s="1">
        <v>243.35</v>
      </c>
      <c r="D119" s="1">
        <v>10.090999999999999</v>
      </c>
      <c r="E119" s="1">
        <v>10.093</v>
      </c>
      <c r="F119" s="1">
        <v>20.75</v>
      </c>
    </row>
    <row r="120" spans="1:6">
      <c r="A120" s="4">
        <v>45946.683438530097</v>
      </c>
      <c r="B120" s="1">
        <v>89</v>
      </c>
      <c r="C120" s="1">
        <v>248.76</v>
      </c>
      <c r="D120" s="1">
        <v>9.9830000000000005</v>
      </c>
      <c r="E120" s="1">
        <v>9.9730000000000008</v>
      </c>
      <c r="F120" s="1">
        <v>20.75</v>
      </c>
    </row>
    <row r="121" spans="1:6">
      <c r="A121" s="4">
        <v>45946.683489571798</v>
      </c>
      <c r="B121" s="1">
        <v>499</v>
      </c>
      <c r="C121" s="1">
        <v>253.17</v>
      </c>
      <c r="D121" s="1">
        <v>9.8780000000000001</v>
      </c>
      <c r="E121" s="1">
        <v>9.8770000000000007</v>
      </c>
      <c r="F121" s="1">
        <v>20.75</v>
      </c>
    </row>
    <row r="122" spans="1:6">
      <c r="A122" s="4">
        <v>45946.683551955997</v>
      </c>
      <c r="B122" s="1">
        <v>889</v>
      </c>
      <c r="C122" s="1">
        <v>258.56</v>
      </c>
      <c r="D122" s="1">
        <v>9.76</v>
      </c>
      <c r="E122" s="1">
        <v>9.7609999999999992</v>
      </c>
      <c r="F122" s="1">
        <v>20.75</v>
      </c>
    </row>
    <row r="123" spans="1:6">
      <c r="A123" s="4">
        <v>45946.6836151389</v>
      </c>
      <c r="B123" s="1">
        <v>348</v>
      </c>
      <c r="C123" s="1">
        <v>264.02</v>
      </c>
      <c r="D123" s="1">
        <v>9.641</v>
      </c>
      <c r="E123" s="1">
        <v>9.6440000000000001</v>
      </c>
      <c r="F123" s="1">
        <v>20.75</v>
      </c>
    </row>
    <row r="124" spans="1:6">
      <c r="A124" s="4">
        <v>45946.683688865698</v>
      </c>
      <c r="B124" s="1">
        <v>718</v>
      </c>
      <c r="C124" s="1">
        <v>270.39</v>
      </c>
      <c r="D124" s="1">
        <v>9.5139999999999993</v>
      </c>
      <c r="E124" s="1">
        <v>9.51</v>
      </c>
      <c r="F124" s="1">
        <v>20.75</v>
      </c>
    </row>
    <row r="125" spans="1:6">
      <c r="A125" s="4">
        <v>45946.683751365701</v>
      </c>
      <c r="B125" s="1">
        <v>118</v>
      </c>
      <c r="C125" s="1">
        <v>275.79000000000002</v>
      </c>
      <c r="D125" s="1">
        <v>9.4079999999999995</v>
      </c>
      <c r="E125" s="1">
        <v>9.3979999999999997</v>
      </c>
      <c r="F125" s="1">
        <v>20.75</v>
      </c>
    </row>
    <row r="126" spans="1:6">
      <c r="A126" s="4">
        <v>45946.683804027802</v>
      </c>
      <c r="B126" s="1">
        <v>668</v>
      </c>
      <c r="C126" s="1">
        <v>280.33999999999997</v>
      </c>
      <c r="D126" s="1">
        <v>9.3040000000000003</v>
      </c>
      <c r="E126" s="1">
        <v>9.3040000000000003</v>
      </c>
      <c r="F126" s="1">
        <v>20.75</v>
      </c>
    </row>
    <row r="127" spans="1:6">
      <c r="A127" s="4">
        <v>45946.683866631902</v>
      </c>
      <c r="B127" s="1">
        <v>77</v>
      </c>
      <c r="C127" s="1">
        <v>285.75</v>
      </c>
      <c r="D127" s="1">
        <v>9.2029999999999994</v>
      </c>
      <c r="E127" s="1">
        <v>9.1929999999999996</v>
      </c>
      <c r="F127" s="1">
        <v>20.75</v>
      </c>
    </row>
    <row r="128" spans="1:6">
      <c r="A128" s="4">
        <v>45946.683929826402</v>
      </c>
      <c r="B128" s="1">
        <v>537</v>
      </c>
      <c r="C128" s="1">
        <v>291.20999999999998</v>
      </c>
      <c r="D128" s="1">
        <v>9.0830000000000002</v>
      </c>
      <c r="E128" s="1">
        <v>9.0830000000000002</v>
      </c>
      <c r="F128" s="1">
        <v>20.75</v>
      </c>
    </row>
    <row r="129" spans="1:6">
      <c r="A129" s="4">
        <v>45946.6840037847</v>
      </c>
      <c r="B129" s="1">
        <v>927</v>
      </c>
      <c r="C129" s="1">
        <v>297.60000000000002</v>
      </c>
      <c r="D129" s="1">
        <v>8.9589999999999996</v>
      </c>
      <c r="E129" s="1">
        <v>8.9559999999999995</v>
      </c>
      <c r="F129" s="1">
        <v>20.75</v>
      </c>
    </row>
    <row r="130" spans="1:6">
      <c r="A130" s="4">
        <v>45946.684066400499</v>
      </c>
      <c r="B130" s="1">
        <v>337</v>
      </c>
      <c r="C130" s="1">
        <v>303.01</v>
      </c>
      <c r="D130" s="1">
        <v>8.8569999999999993</v>
      </c>
      <c r="E130" s="1">
        <v>8.85</v>
      </c>
      <c r="F130" s="1">
        <v>20.75</v>
      </c>
    </row>
    <row r="131" spans="1:6">
      <c r="A131" s="4">
        <v>45946.6841292014</v>
      </c>
      <c r="B131" s="1">
        <v>763</v>
      </c>
      <c r="C131" s="1">
        <v>308.43</v>
      </c>
      <c r="D131" s="1">
        <v>8.7530000000000001</v>
      </c>
      <c r="E131" s="1">
        <v>8.7439999999999998</v>
      </c>
      <c r="F131" s="1">
        <v>20.76</v>
      </c>
    </row>
    <row r="132" spans="1:6">
      <c r="A132" s="4">
        <v>45946.684191585598</v>
      </c>
      <c r="B132" s="1">
        <v>153</v>
      </c>
      <c r="C132" s="1">
        <v>313.82</v>
      </c>
      <c r="D132" s="1">
        <v>8.641</v>
      </c>
      <c r="E132" s="1">
        <v>8.641</v>
      </c>
      <c r="F132" s="1">
        <v>20.75</v>
      </c>
    </row>
    <row r="133" spans="1:6">
      <c r="A133" s="4">
        <v>45946.684266458302</v>
      </c>
      <c r="B133" s="1">
        <v>622</v>
      </c>
      <c r="C133" s="1">
        <v>320.29000000000002</v>
      </c>
      <c r="D133" s="1">
        <v>8.5190000000000001</v>
      </c>
      <c r="E133" s="1">
        <v>8.5180000000000007</v>
      </c>
      <c r="F133" s="1">
        <v>20.75</v>
      </c>
    </row>
    <row r="134" spans="1:6">
      <c r="A134" s="4">
        <v>45946.684340069398</v>
      </c>
      <c r="B134" s="1">
        <v>982</v>
      </c>
      <c r="C134" s="1">
        <v>326.64999999999998</v>
      </c>
      <c r="D134" s="1">
        <v>8.3989999999999991</v>
      </c>
      <c r="E134" s="1">
        <v>8.3989999999999991</v>
      </c>
      <c r="F134" s="1">
        <v>20.76</v>
      </c>
    </row>
    <row r="135" spans="1:6">
      <c r="A135" s="4">
        <v>45946.684413449097</v>
      </c>
      <c r="B135" s="1">
        <v>322</v>
      </c>
      <c r="C135" s="1">
        <v>332.99</v>
      </c>
      <c r="D135" s="1">
        <v>8.2889999999999997</v>
      </c>
      <c r="E135" s="1">
        <v>8.282</v>
      </c>
      <c r="F135" s="1">
        <v>20.76</v>
      </c>
    </row>
    <row r="136" spans="1:6">
      <c r="A136" s="4">
        <v>45946.684476296301</v>
      </c>
      <c r="B136" s="1">
        <v>752</v>
      </c>
      <c r="C136" s="1">
        <v>338.42</v>
      </c>
      <c r="D136" s="1">
        <v>8.1869999999999994</v>
      </c>
      <c r="E136" s="1">
        <v>8.1829999999999998</v>
      </c>
      <c r="F136" s="1">
        <v>20.76</v>
      </c>
    </row>
    <row r="137" spans="1:6">
      <c r="A137" s="4">
        <v>45946.684550370403</v>
      </c>
      <c r="B137" s="1">
        <v>152</v>
      </c>
      <c r="C137" s="1">
        <v>344.82</v>
      </c>
      <c r="D137" s="1">
        <v>8.0679999999999996</v>
      </c>
      <c r="E137" s="1">
        <v>8.0679999999999996</v>
      </c>
      <c r="F137" s="1">
        <v>20.76</v>
      </c>
    </row>
    <row r="138" spans="1:6">
      <c r="A138" s="4">
        <v>45946.6846247801</v>
      </c>
      <c r="B138" s="1">
        <v>581</v>
      </c>
      <c r="C138" s="1">
        <v>351.25</v>
      </c>
      <c r="D138" s="1">
        <v>7.9560000000000004</v>
      </c>
      <c r="E138" s="1">
        <v>7.9530000000000003</v>
      </c>
      <c r="F138" s="1">
        <v>20.76</v>
      </c>
    </row>
    <row r="139" spans="1:6">
      <c r="A139" s="4">
        <v>45946.684698854202</v>
      </c>
      <c r="B139" s="1">
        <v>981</v>
      </c>
      <c r="C139" s="1">
        <v>357.65</v>
      </c>
      <c r="D139" s="1">
        <v>7.843</v>
      </c>
      <c r="E139" s="1">
        <v>7.8410000000000002</v>
      </c>
      <c r="F139" s="1">
        <v>20.76</v>
      </c>
    </row>
    <row r="140" spans="1:6">
      <c r="A140" s="4">
        <v>45946.684772812499</v>
      </c>
      <c r="B140" s="1">
        <v>371</v>
      </c>
      <c r="C140" s="1">
        <v>364.04</v>
      </c>
      <c r="D140" s="1">
        <v>7.726</v>
      </c>
      <c r="E140" s="1">
        <v>7.7309999999999999</v>
      </c>
      <c r="F140" s="1">
        <v>20.76</v>
      </c>
    </row>
    <row r="141" spans="1:6">
      <c r="A141" s="4">
        <v>45946.684846192104</v>
      </c>
      <c r="B141" s="1">
        <v>711</v>
      </c>
      <c r="C141" s="1">
        <v>370.38</v>
      </c>
      <c r="D141" s="1">
        <v>7.6230000000000002</v>
      </c>
      <c r="E141" s="1">
        <v>7.6219999999999999</v>
      </c>
      <c r="F141" s="1">
        <v>20.76</v>
      </c>
    </row>
    <row r="142" spans="1:6">
      <c r="A142" s="4">
        <v>45946.684920497697</v>
      </c>
      <c r="B142" s="1">
        <v>131</v>
      </c>
      <c r="C142" s="1">
        <v>376.8</v>
      </c>
      <c r="D142" s="1">
        <v>7.5220000000000002</v>
      </c>
      <c r="E142" s="1">
        <v>7.5140000000000002</v>
      </c>
      <c r="F142" s="1">
        <v>20.76</v>
      </c>
    </row>
    <row r="143" spans="1:6">
      <c r="A143" s="4">
        <v>45946.684983333304</v>
      </c>
      <c r="B143" s="1">
        <v>560</v>
      </c>
      <c r="C143" s="1">
        <v>382.23</v>
      </c>
      <c r="D143" s="1">
        <v>7.4180000000000001</v>
      </c>
      <c r="E143" s="1">
        <v>7.4240000000000004</v>
      </c>
      <c r="F143" s="1">
        <v>20.76</v>
      </c>
    </row>
    <row r="144" spans="1:6">
      <c r="A144" s="4">
        <v>45946.685057060196</v>
      </c>
      <c r="B144" s="1">
        <v>930</v>
      </c>
      <c r="C144" s="1">
        <v>388.6</v>
      </c>
      <c r="D144" s="1">
        <v>7.3120000000000003</v>
      </c>
      <c r="E144" s="1">
        <v>7.319</v>
      </c>
      <c r="F144" s="1">
        <v>20.76</v>
      </c>
    </row>
    <row r="145" spans="1:6">
      <c r="A145" s="4">
        <v>45946.685130208301</v>
      </c>
      <c r="B145" s="1">
        <v>250</v>
      </c>
      <c r="C145" s="1">
        <v>394.92</v>
      </c>
      <c r="D145" s="1">
        <v>7.2069999999999999</v>
      </c>
      <c r="E145" s="1">
        <v>7.2169999999999996</v>
      </c>
      <c r="F145" s="1">
        <v>20.76</v>
      </c>
    </row>
    <row r="146" spans="1:6">
      <c r="A146" s="4">
        <v>45946.685215393503</v>
      </c>
      <c r="B146" s="1">
        <v>610</v>
      </c>
      <c r="C146" s="1">
        <v>402.28</v>
      </c>
      <c r="D146" s="1">
        <v>7.0960000000000001</v>
      </c>
      <c r="E146" s="1">
        <v>7.0990000000000002</v>
      </c>
      <c r="F146" s="1">
        <v>20.76</v>
      </c>
    </row>
    <row r="147" spans="1:6">
      <c r="A147" s="4">
        <v>45946.685289456</v>
      </c>
      <c r="B147" s="1">
        <v>9</v>
      </c>
      <c r="C147" s="1">
        <v>408.68</v>
      </c>
      <c r="D147" s="1">
        <v>6.9930000000000003</v>
      </c>
      <c r="E147" s="1">
        <v>6.9989999999999997</v>
      </c>
      <c r="F147" s="1">
        <v>20.76</v>
      </c>
    </row>
    <row r="148" spans="1:6">
      <c r="A148" s="4">
        <v>45946.685374294</v>
      </c>
      <c r="B148" s="1">
        <v>339</v>
      </c>
      <c r="C148" s="1">
        <v>416.01</v>
      </c>
      <c r="D148" s="1">
        <v>6.883</v>
      </c>
      <c r="E148" s="1">
        <v>6.8849999999999998</v>
      </c>
      <c r="F148" s="1">
        <v>20.76</v>
      </c>
    </row>
    <row r="149" spans="1:6">
      <c r="A149" s="4">
        <v>45946.685458657397</v>
      </c>
      <c r="B149" s="1">
        <v>628</v>
      </c>
      <c r="C149" s="1">
        <v>423.3</v>
      </c>
      <c r="D149" s="1">
        <v>6.7649999999999997</v>
      </c>
      <c r="E149" s="1">
        <v>6.774</v>
      </c>
      <c r="F149" s="1">
        <v>20.76</v>
      </c>
    </row>
    <row r="150" spans="1:6">
      <c r="A150" s="4">
        <v>45946.6855434838</v>
      </c>
      <c r="B150" s="1">
        <v>957</v>
      </c>
      <c r="C150" s="1">
        <v>430.63</v>
      </c>
      <c r="D150" s="1">
        <v>6.6589999999999998</v>
      </c>
      <c r="E150" s="1">
        <v>6.6630000000000003</v>
      </c>
      <c r="F150" s="1">
        <v>20.76</v>
      </c>
    </row>
    <row r="151" spans="1:6">
      <c r="A151" s="4">
        <v>45946.685628669002</v>
      </c>
      <c r="B151" s="1">
        <v>317</v>
      </c>
      <c r="C151" s="1">
        <v>437.99</v>
      </c>
      <c r="D151" s="1">
        <v>6.5460000000000003</v>
      </c>
      <c r="E151" s="1">
        <v>6.5540000000000003</v>
      </c>
      <c r="F151" s="1">
        <v>20.76</v>
      </c>
    </row>
    <row r="152" spans="1:6">
      <c r="A152" s="4">
        <v>45946.685713969899</v>
      </c>
      <c r="B152" s="1">
        <v>687</v>
      </c>
      <c r="C152" s="1">
        <v>445.36</v>
      </c>
      <c r="D152" s="1">
        <v>6.4420000000000002</v>
      </c>
      <c r="E152" s="1">
        <v>6.4470000000000001</v>
      </c>
      <c r="F152" s="1">
        <v>20.76</v>
      </c>
    </row>
    <row r="153" spans="1:6">
      <c r="A153" s="4">
        <v>45946.685799490697</v>
      </c>
      <c r="B153" s="1">
        <v>76</v>
      </c>
      <c r="C153" s="1">
        <v>452.75</v>
      </c>
      <c r="D153" s="1">
        <v>6.3319999999999999</v>
      </c>
      <c r="E153" s="1">
        <v>6.3410000000000002</v>
      </c>
      <c r="F153" s="1">
        <v>20.76</v>
      </c>
    </row>
    <row r="154" spans="1:6">
      <c r="A154" s="4">
        <v>45946.685884097198</v>
      </c>
      <c r="B154" s="1">
        <v>386</v>
      </c>
      <c r="C154" s="1">
        <v>460.06</v>
      </c>
      <c r="D154" s="1">
        <v>6.2309999999999999</v>
      </c>
      <c r="E154" s="1">
        <v>6.2370000000000001</v>
      </c>
      <c r="F154" s="1">
        <v>20.76</v>
      </c>
    </row>
    <row r="155" spans="1:6">
      <c r="A155" s="4">
        <v>45946.685979907401</v>
      </c>
      <c r="B155" s="1">
        <v>664</v>
      </c>
      <c r="C155" s="1">
        <v>468.33</v>
      </c>
      <c r="D155" s="1">
        <v>6.13</v>
      </c>
      <c r="E155" s="1">
        <v>6.1219999999999999</v>
      </c>
      <c r="F155" s="1">
        <v>20.76</v>
      </c>
    </row>
    <row r="156" spans="1:6">
      <c r="A156" s="4">
        <v>45946.686064849499</v>
      </c>
      <c r="B156" s="1">
        <v>3</v>
      </c>
      <c r="C156" s="1">
        <v>475.67</v>
      </c>
      <c r="D156" s="1">
        <v>6.0190000000000001</v>
      </c>
      <c r="E156" s="1">
        <v>6.0220000000000002</v>
      </c>
      <c r="F156" s="1">
        <v>20.76</v>
      </c>
    </row>
    <row r="157" spans="1:6">
      <c r="A157" s="4">
        <v>45946.686160682897</v>
      </c>
      <c r="B157" s="1">
        <v>283</v>
      </c>
      <c r="C157" s="1">
        <v>483.95</v>
      </c>
      <c r="D157" s="1">
        <v>5.915</v>
      </c>
      <c r="E157" s="1">
        <v>5.9109999999999996</v>
      </c>
      <c r="F157" s="1">
        <v>20.76</v>
      </c>
    </row>
    <row r="158" spans="1:6">
      <c r="A158" s="4">
        <v>45946.686245289398</v>
      </c>
      <c r="B158" s="1">
        <v>593</v>
      </c>
      <c r="C158" s="1">
        <v>491.26</v>
      </c>
      <c r="D158" s="1">
        <v>5.8040000000000003</v>
      </c>
      <c r="E158" s="1">
        <v>5.8140000000000001</v>
      </c>
      <c r="F158" s="1">
        <v>20.76</v>
      </c>
    </row>
    <row r="159" spans="1:6">
      <c r="A159" s="4">
        <v>45946.686351643497</v>
      </c>
      <c r="B159" s="1">
        <v>782</v>
      </c>
      <c r="C159" s="1">
        <v>500.45</v>
      </c>
      <c r="D159" s="1">
        <v>5.6959999999999997</v>
      </c>
      <c r="E159" s="1">
        <v>5.694</v>
      </c>
      <c r="F159" s="1">
        <v>20.76</v>
      </c>
    </row>
    <row r="160" spans="1:6">
      <c r="A160" s="4">
        <v>45946.686447592598</v>
      </c>
      <c r="B160" s="1">
        <v>72</v>
      </c>
      <c r="C160" s="1">
        <v>508.74</v>
      </c>
      <c r="D160" s="1">
        <v>5.5880000000000001</v>
      </c>
      <c r="E160" s="1">
        <v>5.5880000000000001</v>
      </c>
      <c r="F160" s="1">
        <v>20.76</v>
      </c>
    </row>
    <row r="161" spans="1:6">
      <c r="A161" s="4">
        <v>45946.6865444676</v>
      </c>
      <c r="B161" s="1">
        <v>442</v>
      </c>
      <c r="C161" s="1">
        <v>517.11</v>
      </c>
      <c r="D161" s="1">
        <v>5.4770000000000003</v>
      </c>
      <c r="E161" s="1">
        <v>5.4829999999999997</v>
      </c>
      <c r="F161" s="1">
        <v>20.76</v>
      </c>
    </row>
    <row r="162" spans="1:6">
      <c r="A162" s="4">
        <v>45946.686639710701</v>
      </c>
      <c r="B162" s="1">
        <v>671</v>
      </c>
      <c r="C162" s="1">
        <v>525.34</v>
      </c>
      <c r="D162" s="1">
        <v>5.3730000000000002</v>
      </c>
      <c r="E162" s="1">
        <v>5.3819999999999997</v>
      </c>
      <c r="F162" s="1">
        <v>20.76</v>
      </c>
    </row>
    <row r="163" spans="1:6">
      <c r="A163" s="4">
        <v>45946.686745844898</v>
      </c>
      <c r="B163" s="1">
        <v>841</v>
      </c>
      <c r="C163" s="1">
        <v>534.51</v>
      </c>
      <c r="D163" s="1">
        <v>5.2670000000000003</v>
      </c>
      <c r="E163" s="1">
        <v>5.2709999999999999</v>
      </c>
      <c r="F163" s="1">
        <v>20.77</v>
      </c>
    </row>
    <row r="164" spans="1:6">
      <c r="A164" s="4">
        <v>45946.686853831001</v>
      </c>
      <c r="B164" s="1">
        <v>171</v>
      </c>
      <c r="C164" s="1">
        <v>543.84</v>
      </c>
      <c r="D164" s="1">
        <v>5.1639999999999997</v>
      </c>
      <c r="E164" s="1">
        <v>5.16</v>
      </c>
      <c r="F164" s="1">
        <v>20.76</v>
      </c>
    </row>
    <row r="165" spans="1:6">
      <c r="A165" s="4">
        <v>45946.686971411997</v>
      </c>
      <c r="B165" s="1">
        <v>330</v>
      </c>
      <c r="C165" s="1">
        <v>554</v>
      </c>
      <c r="D165" s="1">
        <v>5.048</v>
      </c>
      <c r="E165" s="1">
        <v>5.0419999999999998</v>
      </c>
      <c r="F165" s="1">
        <v>20.76</v>
      </c>
    </row>
    <row r="166" spans="1:6">
      <c r="A166" s="4">
        <v>45946.687077430601</v>
      </c>
      <c r="B166" s="1">
        <v>490</v>
      </c>
      <c r="C166" s="1">
        <v>563.16</v>
      </c>
      <c r="D166" s="1">
        <v>4.9370000000000003</v>
      </c>
      <c r="E166" s="1">
        <v>4.9379999999999997</v>
      </c>
      <c r="F166" s="1">
        <v>20.76</v>
      </c>
    </row>
    <row r="167" spans="1:6">
      <c r="A167" s="4">
        <v>45946.687183888898</v>
      </c>
      <c r="B167" s="1">
        <v>688</v>
      </c>
      <c r="C167" s="1">
        <v>572.36</v>
      </c>
      <c r="D167" s="1">
        <v>4.8310000000000004</v>
      </c>
      <c r="E167" s="1">
        <v>4.835</v>
      </c>
      <c r="F167" s="1">
        <v>20.76</v>
      </c>
    </row>
    <row r="168" spans="1:6">
      <c r="A168" s="4">
        <v>45946.687301481499</v>
      </c>
      <c r="B168" s="1">
        <v>848</v>
      </c>
      <c r="C168" s="1">
        <v>582.52</v>
      </c>
      <c r="D168" s="1">
        <v>4.7229999999999999</v>
      </c>
      <c r="E168" s="1">
        <v>4.7240000000000002</v>
      </c>
      <c r="F168" s="1">
        <v>20.76</v>
      </c>
    </row>
    <row r="169" spans="1:6">
      <c r="A169" s="4">
        <v>45946.687408645797</v>
      </c>
      <c r="B169" s="1">
        <v>107</v>
      </c>
      <c r="C169" s="1">
        <v>591.78</v>
      </c>
      <c r="D169" s="1">
        <v>4.6219999999999999</v>
      </c>
      <c r="E169" s="1">
        <v>4.625</v>
      </c>
      <c r="F169" s="1">
        <v>20.76</v>
      </c>
    </row>
    <row r="170" spans="1:6">
      <c r="A170" s="4">
        <v>45946.687526585702</v>
      </c>
      <c r="B170" s="1">
        <v>297</v>
      </c>
      <c r="C170" s="1">
        <v>601.97</v>
      </c>
      <c r="D170" s="1">
        <v>4.5179999999999998</v>
      </c>
      <c r="E170" s="1">
        <v>4.5179999999999998</v>
      </c>
      <c r="F170" s="1">
        <v>20.76</v>
      </c>
    </row>
    <row r="171" spans="1:6">
      <c r="A171" s="4">
        <v>45946.687632719899</v>
      </c>
      <c r="B171" s="1">
        <v>467</v>
      </c>
      <c r="C171" s="1">
        <v>611.14</v>
      </c>
      <c r="D171" s="1">
        <v>4.4130000000000003</v>
      </c>
      <c r="E171" s="1">
        <v>4.423</v>
      </c>
      <c r="F171" s="1">
        <v>20.77</v>
      </c>
    </row>
    <row r="172" spans="1:6">
      <c r="A172" s="4">
        <v>45946.687772175901</v>
      </c>
      <c r="B172" s="1">
        <v>516</v>
      </c>
      <c r="C172" s="1">
        <v>623.19000000000005</v>
      </c>
      <c r="D172" s="1">
        <v>4.3019999999999996</v>
      </c>
      <c r="E172" s="1">
        <v>4.3019999999999996</v>
      </c>
      <c r="F172" s="1">
        <v>20.76</v>
      </c>
    </row>
    <row r="173" spans="1:6">
      <c r="A173" s="4">
        <v>45946.687902500002</v>
      </c>
      <c r="B173" s="1">
        <v>776</v>
      </c>
      <c r="C173" s="1">
        <v>634.45000000000005</v>
      </c>
      <c r="D173" s="1">
        <v>4.1989999999999998</v>
      </c>
      <c r="E173" s="1">
        <v>-99999</v>
      </c>
      <c r="F173" s="1">
        <v>20.76</v>
      </c>
    </row>
    <row r="174" spans="1:6">
      <c r="A174" s="4"/>
    </row>
    <row r="175" spans="1:6">
      <c r="A175" s="4"/>
    </row>
    <row r="176" spans="1:6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504AFE-A773-4FE9-B1FC-BE5DA94C1D0A}"/>
</file>

<file path=customXml/itemProps2.xml><?xml version="1.0" encoding="utf-8"?>
<ds:datastoreItem xmlns:ds="http://schemas.openxmlformats.org/officeDocument/2006/customXml" ds:itemID="{5F8F7C25-2800-490F-A887-B8FEB53B6528}"/>
</file>

<file path=customXml/itemProps3.xml><?xml version="1.0" encoding="utf-8"?>
<ds:datastoreItem xmlns:ds="http://schemas.openxmlformats.org/officeDocument/2006/customXml" ds:itemID="{A7195077-FDE0-4517-A5E4-6A3BE68D23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Weixler</dc:creator>
  <cp:keywords/>
  <dc:description/>
  <cp:lastModifiedBy>Rod, Kenton A</cp:lastModifiedBy>
  <cp:revision/>
  <dcterms:created xsi:type="dcterms:W3CDTF">2017-12-12T14:35:01Z</dcterms:created>
  <dcterms:modified xsi:type="dcterms:W3CDTF">2025-12-09T23:36:31Z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
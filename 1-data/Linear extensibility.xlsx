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3"/>
  <workbookPr defaultThemeVersion="166925"/>
  <xr:revisionPtr revIDLastSave="9" documentId="11_364F66A9FF92739CC04AEABEE43BC08FD2400DE3" xr6:coauthVersionLast="47" xr6:coauthVersionMax="47" xr10:uidLastSave="{838D9805-C83E-45F5-99EE-1D096707365A}"/>
  <bookViews>
    <workbookView xWindow="240" yWindow="105" windowWidth="14805" windowHeight="8010" xr2:uid="{00000000-000D-0000-FFFF-FFFF00000000}"/>
  </bookViews>
  <sheets>
    <sheet name="Sheet1" sheetId="1" r:id="rId1"/>
  </sheets>
  <externalReferences>
    <externalReference r:id="rId2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7" i="1" l="1"/>
  <c r="L37" i="1"/>
  <c r="F37" i="1"/>
  <c r="H37" i="1" s="1"/>
  <c r="Q37" i="1" s="1"/>
  <c r="M36" i="1"/>
  <c r="L36" i="1"/>
  <c r="F36" i="1"/>
  <c r="H36" i="1" s="1"/>
  <c r="Q36" i="1" s="1"/>
  <c r="M35" i="1"/>
  <c r="L35" i="1"/>
  <c r="F35" i="1"/>
  <c r="H35" i="1" s="1"/>
  <c r="Q35" i="1" s="1"/>
  <c r="M34" i="1"/>
  <c r="L34" i="1"/>
  <c r="F34" i="1"/>
  <c r="H34" i="1" s="1"/>
  <c r="Q34" i="1" s="1"/>
  <c r="M33" i="1"/>
  <c r="L33" i="1"/>
  <c r="F33" i="1"/>
  <c r="H33" i="1" s="1"/>
  <c r="Q33" i="1" s="1"/>
  <c r="M32" i="1"/>
  <c r="L32" i="1"/>
  <c r="F32" i="1"/>
  <c r="H32" i="1" s="1"/>
  <c r="Q32" i="1" s="1"/>
  <c r="M31" i="1"/>
  <c r="L31" i="1"/>
  <c r="F31" i="1"/>
  <c r="H31" i="1" s="1"/>
  <c r="Q31" i="1" s="1"/>
  <c r="M30" i="1"/>
  <c r="L30" i="1"/>
  <c r="F30" i="1"/>
  <c r="H30" i="1" s="1"/>
  <c r="Q30" i="1" s="1"/>
  <c r="M29" i="1"/>
  <c r="L29" i="1"/>
  <c r="F29" i="1"/>
  <c r="H29" i="1" s="1"/>
  <c r="Q29" i="1" s="1"/>
  <c r="M28" i="1"/>
  <c r="L28" i="1"/>
  <c r="F28" i="1"/>
  <c r="H28" i="1" s="1"/>
  <c r="Q28" i="1" s="1"/>
  <c r="M27" i="1"/>
  <c r="L27" i="1"/>
  <c r="F27" i="1"/>
  <c r="H27" i="1" s="1"/>
  <c r="Q27" i="1" s="1"/>
  <c r="M26" i="1"/>
  <c r="L26" i="1"/>
  <c r="F26" i="1"/>
  <c r="H26" i="1" s="1"/>
  <c r="Q26" i="1" s="1"/>
  <c r="M25" i="1"/>
  <c r="L25" i="1"/>
  <c r="F25" i="1"/>
  <c r="H25" i="1" s="1"/>
  <c r="Q25" i="1" s="1"/>
  <c r="M24" i="1"/>
  <c r="L24" i="1"/>
  <c r="F24" i="1"/>
  <c r="H24" i="1" s="1"/>
  <c r="Q24" i="1" s="1"/>
  <c r="M23" i="1"/>
  <c r="L23" i="1"/>
  <c r="F23" i="1"/>
  <c r="H23" i="1" s="1"/>
  <c r="Q23" i="1" s="1"/>
  <c r="M22" i="1"/>
  <c r="L22" i="1"/>
  <c r="F22" i="1"/>
  <c r="H22" i="1" s="1"/>
  <c r="Q22" i="1" s="1"/>
  <c r="M21" i="1"/>
  <c r="L21" i="1"/>
  <c r="F21" i="1"/>
  <c r="H21" i="1" s="1"/>
  <c r="Q21" i="1" s="1"/>
  <c r="M20" i="1"/>
  <c r="L20" i="1"/>
  <c r="F20" i="1"/>
  <c r="H20" i="1" s="1"/>
  <c r="Q20" i="1" s="1"/>
  <c r="M19" i="1"/>
  <c r="L19" i="1"/>
  <c r="F19" i="1"/>
  <c r="H19" i="1" s="1"/>
  <c r="Q19" i="1" s="1"/>
  <c r="M18" i="1"/>
  <c r="L18" i="1"/>
  <c r="F18" i="1"/>
  <c r="H18" i="1" s="1"/>
  <c r="Q18" i="1" s="1"/>
  <c r="M17" i="1"/>
  <c r="L17" i="1"/>
  <c r="F17" i="1"/>
  <c r="H17" i="1" s="1"/>
  <c r="Q17" i="1" s="1"/>
  <c r="M16" i="1"/>
  <c r="L16" i="1"/>
  <c r="F16" i="1"/>
  <c r="H16" i="1" s="1"/>
  <c r="Q16" i="1" s="1"/>
  <c r="M15" i="1"/>
  <c r="L15" i="1"/>
  <c r="F15" i="1"/>
  <c r="H15" i="1" s="1"/>
  <c r="Q15" i="1" s="1"/>
  <c r="M14" i="1"/>
  <c r="L14" i="1"/>
  <c r="F14" i="1"/>
  <c r="H14" i="1" s="1"/>
  <c r="Q14" i="1" s="1"/>
  <c r="M13" i="1"/>
  <c r="L13" i="1"/>
  <c r="F13" i="1"/>
  <c r="H13" i="1" s="1"/>
  <c r="Q13" i="1" s="1"/>
  <c r="M12" i="1"/>
  <c r="L12" i="1"/>
  <c r="F12" i="1"/>
  <c r="H12" i="1" s="1"/>
  <c r="Q12" i="1" s="1"/>
  <c r="M11" i="1"/>
  <c r="L11" i="1"/>
  <c r="F11" i="1"/>
  <c r="H11" i="1" s="1"/>
  <c r="Q11" i="1" s="1"/>
  <c r="M10" i="1"/>
  <c r="L10" i="1"/>
  <c r="F10" i="1"/>
  <c r="H10" i="1" s="1"/>
  <c r="Q10" i="1" s="1"/>
  <c r="M9" i="1"/>
  <c r="L9" i="1"/>
  <c r="F9" i="1"/>
  <c r="H9" i="1" s="1"/>
  <c r="Q9" i="1" s="1"/>
  <c r="M8" i="1"/>
  <c r="L8" i="1"/>
  <c r="F8" i="1"/>
  <c r="H8" i="1" s="1"/>
  <c r="Q8" i="1" s="1"/>
  <c r="M7" i="1"/>
  <c r="L7" i="1"/>
  <c r="F7" i="1"/>
  <c r="H7" i="1" s="1"/>
  <c r="Q7" i="1" s="1"/>
  <c r="M6" i="1"/>
  <c r="L6" i="1"/>
  <c r="F6" i="1"/>
  <c r="H6" i="1" s="1"/>
  <c r="Q6" i="1" s="1"/>
  <c r="M5" i="1"/>
  <c r="L5" i="1"/>
  <c r="F5" i="1"/>
  <c r="H5" i="1" s="1"/>
  <c r="Q5" i="1" s="1"/>
  <c r="M4" i="1"/>
  <c r="L4" i="1"/>
  <c r="F4" i="1"/>
  <c r="H4" i="1" s="1"/>
  <c r="Q4" i="1" s="1"/>
  <c r="M3" i="1"/>
  <c r="L3" i="1"/>
  <c r="F3" i="1"/>
  <c r="H3" i="1" s="1"/>
  <c r="Q3" i="1" s="1"/>
  <c r="M2" i="1"/>
  <c r="L2" i="1"/>
  <c r="F2" i="1"/>
  <c r="H2" i="1" s="1"/>
  <c r="Q2" i="1" s="1"/>
  <c r="P2" i="1" l="1"/>
  <c r="R2" i="1" s="1"/>
  <c r="P3" i="1"/>
  <c r="R3" i="1" s="1"/>
  <c r="P4" i="1"/>
  <c r="R4" i="1" s="1"/>
  <c r="P5" i="1"/>
  <c r="R5" i="1" s="1"/>
  <c r="P6" i="1"/>
  <c r="R6" i="1" s="1"/>
  <c r="P7" i="1"/>
  <c r="R7" i="1" s="1"/>
  <c r="P8" i="1"/>
  <c r="R8" i="1" s="1"/>
  <c r="P9" i="1"/>
  <c r="R9" i="1" s="1"/>
  <c r="P10" i="1"/>
  <c r="R10" i="1" s="1"/>
  <c r="P11" i="1"/>
  <c r="R11" i="1" s="1"/>
  <c r="P12" i="1"/>
  <c r="R12" i="1" s="1"/>
  <c r="P13" i="1"/>
  <c r="R13" i="1" s="1"/>
  <c r="P14" i="1"/>
  <c r="R14" i="1" s="1"/>
  <c r="P15" i="1"/>
  <c r="R15" i="1" s="1"/>
  <c r="P16" i="1"/>
  <c r="R16" i="1" s="1"/>
  <c r="P17" i="1"/>
  <c r="R17" i="1" s="1"/>
  <c r="P18" i="1"/>
  <c r="R18" i="1" s="1"/>
  <c r="P19" i="1"/>
  <c r="R19" i="1" s="1"/>
  <c r="P20" i="1"/>
  <c r="R20" i="1" s="1"/>
  <c r="P21" i="1"/>
  <c r="R21" i="1" s="1"/>
  <c r="P22" i="1"/>
  <c r="R22" i="1" s="1"/>
  <c r="P23" i="1"/>
  <c r="R23" i="1" s="1"/>
  <c r="P24" i="1"/>
  <c r="R24" i="1" s="1"/>
  <c r="P25" i="1"/>
  <c r="R25" i="1" s="1"/>
  <c r="P26" i="1"/>
  <c r="R26" i="1" s="1"/>
  <c r="P27" i="1"/>
  <c r="R27" i="1" s="1"/>
  <c r="P28" i="1"/>
  <c r="R28" i="1" s="1"/>
  <c r="P29" i="1"/>
  <c r="R29" i="1" s="1"/>
  <c r="P30" i="1"/>
  <c r="R30" i="1" s="1"/>
  <c r="P31" i="1"/>
  <c r="R31" i="1" s="1"/>
  <c r="P32" i="1"/>
  <c r="R32" i="1" s="1"/>
  <c r="P33" i="1"/>
  <c r="R33" i="1" s="1"/>
  <c r="P34" i="1"/>
  <c r="R34" i="1" s="1"/>
  <c r="P35" i="1"/>
  <c r="R35" i="1" s="1"/>
  <c r="P36" i="1"/>
  <c r="R36" i="1" s="1"/>
  <c r="P37" i="1"/>
  <c r="R37" i="1" s="1"/>
</calcChain>
</file>

<file path=xl/sharedStrings.xml><?xml version="1.0" encoding="utf-8"?>
<sst xmlns="http://schemas.openxmlformats.org/spreadsheetml/2006/main" count="55" uniqueCount="55">
  <si>
    <t>order</t>
  </si>
  <si>
    <t>Label ID</t>
  </si>
  <si>
    <t>Caliper MEASUREMENT 1 (cm)</t>
  </si>
  <si>
    <t>Caliper MEASUREMENT 2 (cm)</t>
  </si>
  <si>
    <t>Caliper MEASUREMENT 3 (cm)</t>
  </si>
  <si>
    <t>Caliper MEASUREMENT Ave (cm)</t>
  </si>
  <si>
    <t>Kopeky ring height (cm)</t>
  </si>
  <si>
    <t>Length wet - length dry (cm)</t>
  </si>
  <si>
    <t>Tin tare for excess soil top and bottom from kopekey rings post saturation(g)</t>
  </si>
  <si>
    <t>Excess Soil post saturation (top bottom) wet plus tin (g)</t>
  </si>
  <si>
    <t>Excess Soil post saturation(top bottom) oven dry plus tin (g)</t>
  </si>
  <si>
    <t>water in soil (g)</t>
  </si>
  <si>
    <t>dry mass soil (g)</t>
  </si>
  <si>
    <t>Dry mass from soil from 1st BD measurement (g) from hyprop</t>
  </si>
  <si>
    <t>1st (wet) bulk density (g/cm3)</t>
  </si>
  <si>
    <t>2nd (dry) bulk density (g/cm3)</t>
  </si>
  <si>
    <t>COLE from length (cm/cm)</t>
  </si>
  <si>
    <t>COLE from density (cm/cm)</t>
  </si>
  <si>
    <t>COLE = Coefficent of Linear Extensibility</t>
  </si>
  <si>
    <t>DLG_F4_BD_B-3</t>
  </si>
  <si>
    <t>DLG_R2_BD_B-1</t>
  </si>
  <si>
    <t>DLG_F1_BD_A-2</t>
  </si>
  <si>
    <t>DLG_F1_BD_A-3</t>
  </si>
  <si>
    <t>DLG_F3_BD_A-1</t>
  </si>
  <si>
    <t>DLG_F2_BD_A-2</t>
  </si>
  <si>
    <t>DLG_F3_BD_B-1</t>
  </si>
  <si>
    <t>DLG_F1_BD_B-2</t>
  </si>
  <si>
    <t>DLG_F3_BD_A-3</t>
  </si>
  <si>
    <t>DLG_F3_BD_B-2</t>
  </si>
  <si>
    <t>DLG_R1_BD_B-1</t>
  </si>
  <si>
    <t>DLG_F2_BD_A-3</t>
  </si>
  <si>
    <t>DLG_F2_BD_A1</t>
  </si>
  <si>
    <t>DLG_R1_BD_B-2</t>
  </si>
  <si>
    <t>DLG_R1_BD_A-3</t>
  </si>
  <si>
    <t>DLG_F4_BD_A-1</t>
  </si>
  <si>
    <t>DLG_F4_BD_B-1</t>
  </si>
  <si>
    <t>DLG_F2_BD_B-2</t>
  </si>
  <si>
    <t>DLG_F4_BD_B-2</t>
  </si>
  <si>
    <t>DLG_F2_BD_B-3</t>
  </si>
  <si>
    <t>DLG_F1_BD_B-1</t>
  </si>
  <si>
    <t>DLG_F1_BD_B-3</t>
  </si>
  <si>
    <t>DLG_R2_BD_A-3</t>
  </si>
  <si>
    <t>DLG_R2_BD_B-2</t>
  </si>
  <si>
    <t>DLG_F1_BD_A-1</t>
  </si>
  <si>
    <t>DLG_F2_BD_B-1</t>
  </si>
  <si>
    <t>DLG_F3_BD_A-2</t>
  </si>
  <si>
    <t>DLG_F4_BD_A-3</t>
  </si>
  <si>
    <t>DLG_R2_BD_A-2</t>
  </si>
  <si>
    <t>DLG_R1_BD_B-3</t>
  </si>
  <si>
    <t>DLG_R2_BD_B-3</t>
  </si>
  <si>
    <t>DLG_F4_BD_A-2</t>
  </si>
  <si>
    <t>DLG_R1_BD_A-2</t>
  </si>
  <si>
    <t>DLG_F3_BD_B-3</t>
  </si>
  <si>
    <t>DLG_R2_BD_A-1</t>
  </si>
  <si>
    <t>DLG_R1_BD_A-1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</si>
</sst>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6">
    <font>
      <sz val="11"/>
      <color theme="1"/>
      <name val="Calibri"/>
      <family val="2"/>
      <scheme val="minor"/>
    </font>
    <font>
      <b/>
      <sz val="1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</font>
    <font>
      <b/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2" fontId="0" fillId="0" borderId="0" xfId="0" applyNumberFormat="1"/>
    <xf numFmtId="2" fontId="3" fillId="0" borderId="0" xfId="0" applyNumberFormat="1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Hyprop/Hyprop%20and%20Linear%20Extensibility%20from%20deluge%20cores%20fall%202025.xlsx" TargetMode="External"/><Relationship Id="rId1" Type="http://schemas.openxmlformats.org/officeDocument/2006/relationships/externalLinkPath" Target="/teams/SoilPhysicsBSF/Shared%20Documents/Hyprop/Hyprop%20and%20Linear%20Extensibility%20from%20deluge%20cores%20fall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yprop and Ksat"/>
      <sheetName val="Linear extensibility 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8"/>
  <sheetViews>
    <sheetView tabSelected="1" workbookViewId="0">
      <selection activeCell="Q2" sqref="Q2"/>
    </sheetView>
  </sheetViews>
  <sheetFormatPr defaultRowHeight="15"/>
  <cols>
    <col min="2" max="2" width="17.140625" customWidth="1"/>
  </cols>
  <sheetData>
    <row r="1" spans="1:20" ht="174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13" t="s">
        <v>16</v>
      </c>
      <c r="R1" s="4" t="s">
        <v>17</v>
      </c>
      <c r="S1" s="5" t="s">
        <v>18</v>
      </c>
      <c r="T1" s="6"/>
    </row>
    <row r="2" spans="1:20">
      <c r="A2" s="7">
        <v>1</v>
      </c>
      <c r="B2" s="7" t="s">
        <v>19</v>
      </c>
      <c r="C2" s="7">
        <v>5.0999999999999996</v>
      </c>
      <c r="D2" s="7">
        <v>5.0999999999999996</v>
      </c>
      <c r="E2" s="7">
        <v>5.0999999999999996</v>
      </c>
      <c r="F2" s="8">
        <f t="shared" ref="F2:F6" si="0">AVERAGE(C2,D2,E2)</f>
        <v>5.0999999999999996</v>
      </c>
      <c r="G2" s="8">
        <v>5.0999999999999996</v>
      </c>
      <c r="H2" s="8">
        <f>F2-G2</f>
        <v>0</v>
      </c>
      <c r="I2" s="7">
        <v>2.1</v>
      </c>
      <c r="J2" s="7">
        <v>2.1</v>
      </c>
      <c r="K2" s="7">
        <v>2.1</v>
      </c>
      <c r="L2" s="7">
        <f>J2-K2</f>
        <v>0</v>
      </c>
      <c r="M2" s="7">
        <f>K2-I2</f>
        <v>0</v>
      </c>
      <c r="N2" s="7">
        <v>114.90939597023609</v>
      </c>
      <c r="O2" s="8">
        <v>1.1607009693963242</v>
      </c>
      <c r="P2" s="8">
        <f>(N2+M2)/99</f>
        <v>1.1607009693963242</v>
      </c>
      <c r="Q2" s="9">
        <f>H2/F2</f>
        <v>0</v>
      </c>
      <c r="R2" s="9">
        <f>(P2-O2)/(O2*P2)</f>
        <v>0</v>
      </c>
    </row>
    <row r="3" spans="1:20">
      <c r="A3" s="7">
        <v>2</v>
      </c>
      <c r="B3" s="7" t="s">
        <v>20</v>
      </c>
      <c r="C3" s="7">
        <v>5.7</v>
      </c>
      <c r="D3" s="7">
        <v>5.5</v>
      </c>
      <c r="E3" s="7">
        <v>5.7</v>
      </c>
      <c r="F3" s="8">
        <f t="shared" si="0"/>
        <v>5.6333333333333329</v>
      </c>
      <c r="G3" s="8">
        <v>5.0999999999999996</v>
      </c>
      <c r="H3" s="8">
        <f t="shared" ref="H3:H37" si="1">F3-G3</f>
        <v>0.53333333333333321</v>
      </c>
      <c r="I3" s="7">
        <v>2.0699999999999998</v>
      </c>
      <c r="J3" s="7">
        <v>12.01</v>
      </c>
      <c r="K3" s="7">
        <v>9.0299999999999994</v>
      </c>
      <c r="L3" s="7">
        <f t="shared" ref="L3:L37" si="2">J3-K3</f>
        <v>2.9800000000000004</v>
      </c>
      <c r="M3" s="7">
        <f t="shared" ref="M3:M37" si="3">K3-I3</f>
        <v>6.9599999999999991</v>
      </c>
      <c r="N3" s="7">
        <v>113.20263025477863</v>
      </c>
      <c r="O3" s="8">
        <v>1.1434609116644305</v>
      </c>
      <c r="P3" s="8">
        <f t="shared" ref="P3:P35" si="4">(N3+M3)/99</f>
        <v>1.2137639419674608</v>
      </c>
      <c r="Q3" s="9">
        <f t="shared" ref="Q3:Q37" si="5">H3/F3</f>
        <v>9.4674556213017735E-2</v>
      </c>
      <c r="R3" s="9">
        <f t="shared" ref="R3:R37" si="6">(P3-O3)/(O3*P3)</f>
        <v>5.0654553357184773E-2</v>
      </c>
    </row>
    <row r="4" spans="1:20">
      <c r="A4" s="7">
        <v>3</v>
      </c>
      <c r="B4" s="7" t="s">
        <v>21</v>
      </c>
      <c r="C4" s="7">
        <v>5.7</v>
      </c>
      <c r="D4" s="7">
        <v>5.7</v>
      </c>
      <c r="E4" s="7">
        <v>5.5</v>
      </c>
      <c r="F4" s="8">
        <f t="shared" si="0"/>
        <v>5.6333333333333329</v>
      </c>
      <c r="G4" s="8">
        <v>5.0999999999999996</v>
      </c>
      <c r="H4" s="8">
        <f t="shared" si="1"/>
        <v>0.53333333333333321</v>
      </c>
      <c r="I4" s="7">
        <v>2.13</v>
      </c>
      <c r="J4" s="7">
        <v>14.38</v>
      </c>
      <c r="K4" s="7">
        <v>9.3000000000000007</v>
      </c>
      <c r="L4" s="7">
        <f t="shared" si="2"/>
        <v>5.08</v>
      </c>
      <c r="M4" s="7">
        <f t="shared" si="3"/>
        <v>7.1700000000000008</v>
      </c>
      <c r="N4" s="7">
        <v>72.833650057169777</v>
      </c>
      <c r="O4" s="8">
        <v>0.73569343492090689</v>
      </c>
      <c r="P4" s="8">
        <f t="shared" si="4"/>
        <v>0.80811767734514928</v>
      </c>
      <c r="Q4" s="9">
        <f t="shared" si="5"/>
        <v>9.4674556213017735E-2</v>
      </c>
      <c r="R4" s="9">
        <f t="shared" si="6"/>
        <v>0.12181828289867273</v>
      </c>
    </row>
    <row r="5" spans="1:20">
      <c r="A5" s="7">
        <v>4</v>
      </c>
      <c r="B5" s="7" t="s">
        <v>22</v>
      </c>
      <c r="C5" s="7">
        <v>6</v>
      </c>
      <c r="D5" s="7">
        <v>5.35</v>
      </c>
      <c r="E5" s="7">
        <v>5.6</v>
      </c>
      <c r="F5" s="8">
        <f t="shared" si="0"/>
        <v>5.6499999999999995</v>
      </c>
      <c r="G5" s="8">
        <v>5.0999999999999996</v>
      </c>
      <c r="H5" s="8">
        <f t="shared" si="1"/>
        <v>0.54999999999999982</v>
      </c>
      <c r="I5" s="7">
        <v>2.1</v>
      </c>
      <c r="J5" s="7">
        <v>14.64</v>
      </c>
      <c r="K5" s="7">
        <v>8.1</v>
      </c>
      <c r="L5" s="7">
        <f t="shared" si="2"/>
        <v>6.5400000000000009</v>
      </c>
      <c r="M5" s="7">
        <f t="shared" si="3"/>
        <v>6</v>
      </c>
      <c r="N5" s="7">
        <v>75.05011619637348</v>
      </c>
      <c r="O5" s="8">
        <v>0.75808198178155028</v>
      </c>
      <c r="P5" s="8">
        <f t="shared" si="4"/>
        <v>0.81868804238761095</v>
      </c>
      <c r="Q5" s="9">
        <f t="shared" si="5"/>
        <v>9.7345132743362803E-2</v>
      </c>
      <c r="R5" s="9">
        <f t="shared" si="6"/>
        <v>9.765206559981561E-2</v>
      </c>
    </row>
    <row r="6" spans="1:20">
      <c r="A6" s="7">
        <v>5</v>
      </c>
      <c r="B6" s="7" t="s">
        <v>23</v>
      </c>
      <c r="C6" s="7">
        <v>5.3</v>
      </c>
      <c r="D6" s="7">
        <v>5.4</v>
      </c>
      <c r="E6" s="7">
        <v>5.4</v>
      </c>
      <c r="F6" s="8">
        <f t="shared" si="0"/>
        <v>5.3666666666666671</v>
      </c>
      <c r="G6" s="8">
        <v>5.0999999999999996</v>
      </c>
      <c r="H6" s="8">
        <f t="shared" si="1"/>
        <v>0.2666666666666675</v>
      </c>
      <c r="I6" s="7">
        <v>2.11</v>
      </c>
      <c r="J6" s="7">
        <v>13.21</v>
      </c>
      <c r="K6" s="7">
        <v>7.04</v>
      </c>
      <c r="L6" s="7">
        <f t="shared" si="2"/>
        <v>6.1700000000000008</v>
      </c>
      <c r="M6" s="7">
        <f t="shared" si="3"/>
        <v>4.93</v>
      </c>
      <c r="N6" s="7">
        <v>81.422824204935182</v>
      </c>
      <c r="O6" s="8">
        <v>0.82245276974682002</v>
      </c>
      <c r="P6" s="8">
        <f t="shared" si="4"/>
        <v>0.87225074954479986</v>
      </c>
      <c r="Q6" s="9">
        <f t="shared" si="5"/>
        <v>4.9689440993788969E-2</v>
      </c>
      <c r="R6" s="9">
        <f t="shared" si="6"/>
        <v>6.9415971455785902E-2</v>
      </c>
    </row>
    <row r="7" spans="1:20">
      <c r="A7" s="7">
        <v>6</v>
      </c>
      <c r="B7" s="7" t="s">
        <v>24</v>
      </c>
      <c r="C7" s="7">
        <v>5.6</v>
      </c>
      <c r="D7" s="7">
        <v>5.5</v>
      </c>
      <c r="E7" s="7">
        <v>5.6</v>
      </c>
      <c r="F7" s="8">
        <f>AVERAGE(C7,D7,E7)</f>
        <v>5.5666666666666664</v>
      </c>
      <c r="G7" s="8">
        <v>5.0999999999999996</v>
      </c>
      <c r="H7" s="8">
        <f t="shared" si="1"/>
        <v>0.46666666666666679</v>
      </c>
      <c r="I7" s="7">
        <v>2.14</v>
      </c>
      <c r="J7" s="7">
        <v>13.28</v>
      </c>
      <c r="K7" s="7">
        <v>6.84</v>
      </c>
      <c r="L7" s="7">
        <f t="shared" si="2"/>
        <v>6.4399999999999995</v>
      </c>
      <c r="M7" s="7">
        <f t="shared" si="3"/>
        <v>4.6999999999999993</v>
      </c>
      <c r="N7" s="7">
        <v>71.837566991740374</v>
      </c>
      <c r="O7" s="8">
        <v>0.72563198981555932</v>
      </c>
      <c r="P7" s="8">
        <f t="shared" si="4"/>
        <v>0.77310673729030688</v>
      </c>
      <c r="Q7" s="9">
        <f t="shared" si="5"/>
        <v>8.383233532934134E-2</v>
      </c>
      <c r="R7" s="9">
        <f t="shared" si="6"/>
        <v>8.4626578959631341E-2</v>
      </c>
    </row>
    <row r="8" spans="1:20">
      <c r="A8" s="7">
        <v>7</v>
      </c>
      <c r="B8" s="7" t="s">
        <v>25</v>
      </c>
      <c r="C8" s="7">
        <v>5.5</v>
      </c>
      <c r="D8" s="7">
        <v>5.4</v>
      </c>
      <c r="E8" s="7">
        <v>5.4</v>
      </c>
      <c r="F8" s="8">
        <f t="shared" ref="F8:F37" si="7">AVERAGE(C8,D8,E8)</f>
        <v>5.4333333333333336</v>
      </c>
      <c r="G8" s="8">
        <v>5.0999999999999996</v>
      </c>
      <c r="H8" s="8">
        <f t="shared" si="1"/>
        <v>0.33333333333333393</v>
      </c>
      <c r="I8" s="7">
        <v>1.27</v>
      </c>
      <c r="J8" s="7">
        <v>8.26</v>
      </c>
      <c r="K8" s="7">
        <v>5.8887</v>
      </c>
      <c r="L8" s="7">
        <f t="shared" si="2"/>
        <v>2.3712999999999997</v>
      </c>
      <c r="M8" s="7">
        <f t="shared" si="3"/>
        <v>4.6187000000000005</v>
      </c>
      <c r="N8" s="7">
        <v>121.28397966418994</v>
      </c>
      <c r="O8" s="8">
        <v>1.2250907036786862</v>
      </c>
      <c r="P8" s="8">
        <f t="shared" si="4"/>
        <v>1.2717442390322218</v>
      </c>
      <c r="Q8" s="9">
        <f t="shared" si="5"/>
        <v>6.1349693251533846E-2</v>
      </c>
      <c r="R8" s="9">
        <f t="shared" si="6"/>
        <v>2.9944463495655833E-2</v>
      </c>
    </row>
    <row r="9" spans="1:20">
      <c r="A9" s="7">
        <v>8</v>
      </c>
      <c r="B9" s="7" t="s">
        <v>26</v>
      </c>
      <c r="C9" s="7">
        <v>5.7</v>
      </c>
      <c r="D9" s="7">
        <v>5.5</v>
      </c>
      <c r="E9" s="7">
        <v>5.7</v>
      </c>
      <c r="F9" s="8">
        <f t="shared" si="7"/>
        <v>5.6333333333333329</v>
      </c>
      <c r="G9" s="8">
        <v>5.0999999999999996</v>
      </c>
      <c r="H9" s="8">
        <f t="shared" si="1"/>
        <v>0.53333333333333321</v>
      </c>
      <c r="I9" s="7">
        <v>1.28</v>
      </c>
      <c r="J9" s="7">
        <v>6.84</v>
      </c>
      <c r="K9" s="7">
        <v>4.7239000000000004</v>
      </c>
      <c r="L9" s="7">
        <f t="shared" si="2"/>
        <v>2.1160999999999994</v>
      </c>
      <c r="M9" s="7">
        <f t="shared" si="3"/>
        <v>3.4439000000000002</v>
      </c>
      <c r="N9" s="7">
        <v>92.988683020747757</v>
      </c>
      <c r="O9" s="8">
        <v>0.93927962647219954</v>
      </c>
      <c r="P9" s="8">
        <f t="shared" si="4"/>
        <v>0.97406649515906829</v>
      </c>
      <c r="Q9" s="9">
        <f t="shared" si="5"/>
        <v>9.4674556213017735E-2</v>
      </c>
      <c r="R9" s="9">
        <f t="shared" si="6"/>
        <v>3.8021726213625082E-2</v>
      </c>
    </row>
    <row r="10" spans="1:20">
      <c r="A10" s="7">
        <v>9</v>
      </c>
      <c r="B10" s="7" t="s">
        <v>27</v>
      </c>
      <c r="C10" s="7">
        <v>5.6</v>
      </c>
      <c r="D10" s="7">
        <v>5.45</v>
      </c>
      <c r="E10" s="7">
        <v>5.3</v>
      </c>
      <c r="F10" s="8">
        <f t="shared" si="7"/>
        <v>5.45</v>
      </c>
      <c r="G10" s="8">
        <v>5.0999999999999996</v>
      </c>
      <c r="H10" s="8">
        <f t="shared" si="1"/>
        <v>0.35000000000000053</v>
      </c>
      <c r="I10" s="7">
        <v>2.1</v>
      </c>
      <c r="J10" s="7">
        <v>5.36</v>
      </c>
      <c r="K10" s="7">
        <v>4.0068000000000001</v>
      </c>
      <c r="L10" s="7">
        <f t="shared" si="2"/>
        <v>1.3532000000000002</v>
      </c>
      <c r="M10" s="7">
        <f t="shared" si="3"/>
        <v>1.9068000000000001</v>
      </c>
      <c r="N10" s="7">
        <v>74.072781954022787</v>
      </c>
      <c r="O10" s="8">
        <v>0.74820991872750287</v>
      </c>
      <c r="P10" s="8">
        <f t="shared" si="4"/>
        <v>0.76747052478810895</v>
      </c>
      <c r="Q10" s="9">
        <f t="shared" si="5"/>
        <v>6.4220183486238633E-2</v>
      </c>
      <c r="R10" s="9">
        <f t="shared" si="6"/>
        <v>3.35416777668891E-2</v>
      </c>
    </row>
    <row r="11" spans="1:20">
      <c r="A11" s="7">
        <v>10</v>
      </c>
      <c r="B11" s="7" t="s">
        <v>28</v>
      </c>
      <c r="C11" s="7">
        <v>5.4</v>
      </c>
      <c r="D11" s="7">
        <v>5.0999999999999996</v>
      </c>
      <c r="E11" s="7">
        <v>5.0999999999999996</v>
      </c>
      <c r="F11" s="8">
        <f t="shared" si="7"/>
        <v>5.2</v>
      </c>
      <c r="G11" s="8">
        <v>5.0999999999999996</v>
      </c>
      <c r="H11" s="8">
        <f t="shared" si="1"/>
        <v>0.10000000000000053</v>
      </c>
      <c r="I11" s="10">
        <v>1.2996000000000001</v>
      </c>
      <c r="J11" s="10">
        <v>5.2153999999999998</v>
      </c>
      <c r="K11" s="7">
        <v>3.8614999999999999</v>
      </c>
      <c r="L11" s="7">
        <f t="shared" si="2"/>
        <v>1.3538999999999999</v>
      </c>
      <c r="M11" s="7">
        <f t="shared" si="3"/>
        <v>2.5618999999999996</v>
      </c>
      <c r="N11" s="7">
        <v>116.63154150533794</v>
      </c>
      <c r="O11" s="8">
        <v>1.1780963788417973</v>
      </c>
      <c r="P11" s="8">
        <f t="shared" si="4"/>
        <v>1.203974156619575</v>
      </c>
      <c r="Q11" s="9">
        <f t="shared" si="5"/>
        <v>1.9230769230769332E-2</v>
      </c>
      <c r="R11" s="9">
        <f t="shared" si="6"/>
        <v>1.8244375120787148E-2</v>
      </c>
    </row>
    <row r="12" spans="1:20">
      <c r="A12" s="7">
        <v>11</v>
      </c>
      <c r="B12" s="7" t="s">
        <v>29</v>
      </c>
      <c r="C12" s="7">
        <v>5.5</v>
      </c>
      <c r="D12" s="7">
        <v>5.45</v>
      </c>
      <c r="E12" s="7">
        <v>5.4</v>
      </c>
      <c r="F12" s="8">
        <f t="shared" si="7"/>
        <v>5.45</v>
      </c>
      <c r="G12" s="8">
        <v>5.0999999999999996</v>
      </c>
      <c r="H12" s="8">
        <f t="shared" si="1"/>
        <v>0.35000000000000053</v>
      </c>
      <c r="I12" s="7">
        <v>2.12</v>
      </c>
      <c r="J12" s="7">
        <v>11.31</v>
      </c>
      <c r="K12" s="7">
        <v>8.0654000000000003</v>
      </c>
      <c r="L12" s="7">
        <f t="shared" si="2"/>
        <v>3.2446000000000002</v>
      </c>
      <c r="M12" s="7">
        <f t="shared" si="3"/>
        <v>5.9454000000000002</v>
      </c>
      <c r="N12" s="7">
        <v>98.54440375373747</v>
      </c>
      <c r="O12" s="8">
        <v>0.99539801771451986</v>
      </c>
      <c r="P12" s="8">
        <f t="shared" si="4"/>
        <v>1.0554525631690654</v>
      </c>
      <c r="Q12" s="9">
        <f t="shared" si="5"/>
        <v>6.4220183486238633E-2</v>
      </c>
      <c r="R12" s="9">
        <f t="shared" si="6"/>
        <v>5.7162391986109062E-2</v>
      </c>
    </row>
    <row r="13" spans="1:20">
      <c r="A13" s="7">
        <v>12</v>
      </c>
      <c r="B13" s="7" t="s">
        <v>30</v>
      </c>
      <c r="C13" s="7">
        <v>5.6</v>
      </c>
      <c r="D13" s="7">
        <v>5.55</v>
      </c>
      <c r="E13" s="7">
        <v>5.5</v>
      </c>
      <c r="F13" s="8">
        <f t="shared" si="7"/>
        <v>5.55</v>
      </c>
      <c r="G13" s="8">
        <v>5.0999999999999996</v>
      </c>
      <c r="H13" s="8">
        <f t="shared" si="1"/>
        <v>0.45000000000000018</v>
      </c>
      <c r="I13" s="7">
        <v>2.08</v>
      </c>
      <c r="J13" s="7">
        <v>16.57</v>
      </c>
      <c r="K13" s="7">
        <v>9.4077000000000002</v>
      </c>
      <c r="L13" s="7">
        <f t="shared" si="2"/>
        <v>7.1623000000000001</v>
      </c>
      <c r="M13" s="7">
        <f t="shared" si="3"/>
        <v>7.3277000000000001</v>
      </c>
      <c r="N13" s="7">
        <v>74.0359769769791</v>
      </c>
      <c r="O13" s="8">
        <v>0.74783815128261721</v>
      </c>
      <c r="P13" s="8">
        <f t="shared" si="4"/>
        <v>0.82185532299978881</v>
      </c>
      <c r="Q13" s="9">
        <f t="shared" si="5"/>
        <v>8.1081081081081113E-2</v>
      </c>
      <c r="R13" s="9">
        <f t="shared" si="6"/>
        <v>0.12042856092488845</v>
      </c>
    </row>
    <row r="14" spans="1:20">
      <c r="A14" s="7">
        <v>13</v>
      </c>
      <c r="B14" s="7" t="s">
        <v>31</v>
      </c>
      <c r="C14" s="7">
        <v>5.5</v>
      </c>
      <c r="D14" s="7">
        <v>5.4</v>
      </c>
      <c r="E14" s="7">
        <v>5.5</v>
      </c>
      <c r="F14" s="8">
        <f t="shared" si="7"/>
        <v>5.4666666666666659</v>
      </c>
      <c r="G14" s="8">
        <v>5.0999999999999996</v>
      </c>
      <c r="H14" s="8">
        <f t="shared" si="1"/>
        <v>0.36666666666666625</v>
      </c>
      <c r="I14" s="7">
        <v>1.29</v>
      </c>
      <c r="J14" s="7">
        <v>6.01</v>
      </c>
      <c r="K14" s="7">
        <v>3.9527000000000001</v>
      </c>
      <c r="L14" s="7">
        <f t="shared" si="2"/>
        <v>2.0572999999999997</v>
      </c>
      <c r="M14" s="7">
        <f t="shared" si="3"/>
        <v>2.6627000000000001</v>
      </c>
      <c r="N14" s="7">
        <v>70.563017772233124</v>
      </c>
      <c r="O14" s="8">
        <v>0.71275775527508201</v>
      </c>
      <c r="P14" s="8">
        <f t="shared" si="4"/>
        <v>0.7396537148710417</v>
      </c>
      <c r="Q14" s="9">
        <f t="shared" si="5"/>
        <v>6.7073170731707252E-2</v>
      </c>
      <c r="R14" s="9">
        <f t="shared" si="6"/>
        <v>5.1017203536459034E-2</v>
      </c>
    </row>
    <row r="15" spans="1:20">
      <c r="A15" s="7">
        <v>14</v>
      </c>
      <c r="B15" s="7" t="s">
        <v>32</v>
      </c>
      <c r="C15" s="7">
        <v>5.6</v>
      </c>
      <c r="D15" s="7">
        <v>5.4</v>
      </c>
      <c r="E15" s="7">
        <v>5.4</v>
      </c>
      <c r="F15" s="8">
        <f t="shared" si="7"/>
        <v>5.4666666666666659</v>
      </c>
      <c r="G15" s="8">
        <v>5.0999999999999996</v>
      </c>
      <c r="H15" s="8">
        <f t="shared" si="1"/>
        <v>0.36666666666666625</v>
      </c>
      <c r="I15" s="7">
        <v>1.27</v>
      </c>
      <c r="J15" s="7">
        <v>7.13</v>
      </c>
      <c r="K15" s="7">
        <v>4.8827999999999996</v>
      </c>
      <c r="L15" s="7">
        <f t="shared" si="2"/>
        <v>2.2472000000000003</v>
      </c>
      <c r="M15" s="7">
        <f t="shared" si="3"/>
        <v>3.6127999999999996</v>
      </c>
      <c r="N15" s="7">
        <v>113.69641479724557</v>
      </c>
      <c r="O15" s="8">
        <v>1.1484486343156117</v>
      </c>
      <c r="P15" s="8">
        <f t="shared" si="4"/>
        <v>1.184941563608541</v>
      </c>
      <c r="Q15" s="9">
        <f t="shared" si="5"/>
        <v>6.7073170731707252E-2</v>
      </c>
      <c r="R15" s="9">
        <f t="shared" si="6"/>
        <v>2.6816384049755091E-2</v>
      </c>
    </row>
    <row r="16" spans="1:20">
      <c r="A16" s="7">
        <v>15</v>
      </c>
      <c r="B16" s="7" t="s">
        <v>33</v>
      </c>
      <c r="C16" s="7">
        <v>5.35</v>
      </c>
      <c r="D16" s="7">
        <v>5.4</v>
      </c>
      <c r="E16" s="7">
        <v>5.4</v>
      </c>
      <c r="F16" s="8">
        <f t="shared" si="7"/>
        <v>5.3833333333333329</v>
      </c>
      <c r="G16" s="8">
        <v>5.0999999999999996</v>
      </c>
      <c r="H16" s="8">
        <f t="shared" si="1"/>
        <v>0.28333333333333321</v>
      </c>
      <c r="I16" s="7">
        <v>1.27</v>
      </c>
      <c r="J16" s="7">
        <v>3.03</v>
      </c>
      <c r="K16" s="7">
        <v>2.2719999999999998</v>
      </c>
      <c r="L16" s="7">
        <f t="shared" si="2"/>
        <v>0.75800000000000001</v>
      </c>
      <c r="M16" s="7">
        <f t="shared" si="3"/>
        <v>1.0019999999999998</v>
      </c>
      <c r="N16" s="7">
        <v>76.172940627253737</v>
      </c>
      <c r="O16" s="8">
        <v>0.76942364269953267</v>
      </c>
      <c r="P16" s="8">
        <f t="shared" si="4"/>
        <v>0.77954485482074476</v>
      </c>
      <c r="Q16" s="9">
        <f t="shared" si="5"/>
        <v>5.2631578947368404E-2</v>
      </c>
      <c r="R16" s="9">
        <f t="shared" si="6"/>
        <v>1.687430483538703E-2</v>
      </c>
    </row>
    <row r="17" spans="1:18">
      <c r="A17" s="7">
        <v>16</v>
      </c>
      <c r="B17" s="7" t="s">
        <v>34</v>
      </c>
      <c r="C17" s="7">
        <v>5.6</v>
      </c>
      <c r="D17" s="7">
        <v>5.5</v>
      </c>
      <c r="E17" s="7">
        <v>5.5</v>
      </c>
      <c r="F17" s="8">
        <f t="shared" si="7"/>
        <v>5.5333333333333341</v>
      </c>
      <c r="G17" s="8">
        <v>5.0999999999999996</v>
      </c>
      <c r="H17" s="8">
        <f t="shared" si="1"/>
        <v>0.43333333333333446</v>
      </c>
      <c r="I17" s="7">
        <v>1.27</v>
      </c>
      <c r="J17" s="7">
        <v>5.0069999999999997</v>
      </c>
      <c r="K17" s="7">
        <v>3.2429000000000001</v>
      </c>
      <c r="L17" s="7">
        <f t="shared" si="2"/>
        <v>1.7640999999999996</v>
      </c>
      <c r="M17" s="7">
        <f t="shared" si="3"/>
        <v>1.9729000000000001</v>
      </c>
      <c r="N17" s="7">
        <v>78.059201092784733</v>
      </c>
      <c r="O17" s="8">
        <v>0.78847677871499733</v>
      </c>
      <c r="P17" s="8">
        <f t="shared" si="4"/>
        <v>0.80840506154328007</v>
      </c>
      <c r="Q17" s="9">
        <f t="shared" si="5"/>
        <v>7.8313253012048389E-2</v>
      </c>
      <c r="R17" s="9">
        <f t="shared" si="6"/>
        <v>3.1264533048039625E-2</v>
      </c>
    </row>
    <row r="18" spans="1:18">
      <c r="A18" s="7">
        <v>17</v>
      </c>
      <c r="B18" s="7" t="s">
        <v>35</v>
      </c>
      <c r="C18" s="7">
        <v>5.0999999999999996</v>
      </c>
      <c r="D18" s="7">
        <v>5.15</v>
      </c>
      <c r="E18" s="7">
        <v>5.2</v>
      </c>
      <c r="F18" s="7">
        <f t="shared" si="7"/>
        <v>5.1499999999999995</v>
      </c>
      <c r="G18" s="8">
        <v>5.0999999999999996</v>
      </c>
      <c r="H18" s="8">
        <f t="shared" si="1"/>
        <v>4.9999999999999822E-2</v>
      </c>
      <c r="I18" s="7">
        <v>1.3</v>
      </c>
      <c r="J18" s="7">
        <v>1.74</v>
      </c>
      <c r="K18" s="7">
        <v>1.5536000000000001</v>
      </c>
      <c r="L18" s="7">
        <f t="shared" si="2"/>
        <v>0.1863999999999999</v>
      </c>
      <c r="M18" s="7">
        <f t="shared" si="3"/>
        <v>0.25360000000000005</v>
      </c>
      <c r="N18" s="7">
        <v>118.86871222782719</v>
      </c>
      <c r="O18" s="8">
        <v>1.2006940629073453</v>
      </c>
      <c r="P18" s="8">
        <f t="shared" si="4"/>
        <v>1.2032556790689615</v>
      </c>
      <c r="Q18" s="9">
        <f t="shared" si="5"/>
        <v>9.7087378640776361E-3</v>
      </c>
      <c r="R18" s="9">
        <f t="shared" si="6"/>
        <v>1.7730613841350131E-3</v>
      </c>
    </row>
    <row r="19" spans="1:18">
      <c r="A19" s="7">
        <v>18</v>
      </c>
      <c r="B19" s="7" t="s">
        <v>36</v>
      </c>
      <c r="C19" s="7">
        <v>5.55</v>
      </c>
      <c r="D19" s="7">
        <v>5.5</v>
      </c>
      <c r="E19" s="7">
        <v>5.4</v>
      </c>
      <c r="F19" s="10">
        <f t="shared" si="7"/>
        <v>5.4833333333333343</v>
      </c>
      <c r="G19" s="8">
        <v>5.0999999999999996</v>
      </c>
      <c r="H19" s="8">
        <f t="shared" si="1"/>
        <v>0.38333333333333464</v>
      </c>
      <c r="I19" s="7">
        <v>1.28</v>
      </c>
      <c r="J19" s="7">
        <v>7.52</v>
      </c>
      <c r="K19" s="7">
        <v>5.1558000000000002</v>
      </c>
      <c r="L19" s="7">
        <f t="shared" si="2"/>
        <v>2.3641999999999994</v>
      </c>
      <c r="M19" s="7">
        <f t="shared" si="3"/>
        <v>3.8757999999999999</v>
      </c>
      <c r="N19" s="7">
        <v>121.18336869443664</v>
      </c>
      <c r="O19" s="8">
        <v>1.2240744312569358</v>
      </c>
      <c r="P19" s="8">
        <f t="shared" si="4"/>
        <v>1.2632239262064306</v>
      </c>
      <c r="Q19" s="9">
        <f t="shared" si="5"/>
        <v>6.9908814589665885E-2</v>
      </c>
      <c r="R19" s="9">
        <f t="shared" si="6"/>
        <v>2.5318501299401885E-2</v>
      </c>
    </row>
    <row r="20" spans="1:18">
      <c r="A20" s="7">
        <v>19</v>
      </c>
      <c r="B20" s="7" t="s">
        <v>37</v>
      </c>
      <c r="C20" s="7">
        <v>5.2</v>
      </c>
      <c r="D20" s="7">
        <v>5.2</v>
      </c>
      <c r="E20" s="7">
        <v>5.2</v>
      </c>
      <c r="F20" s="7">
        <f t="shared" si="7"/>
        <v>5.2</v>
      </c>
      <c r="G20" s="8">
        <v>5.0999999999999996</v>
      </c>
      <c r="H20" s="8">
        <f t="shared" si="1"/>
        <v>0.10000000000000053</v>
      </c>
      <c r="I20" s="7">
        <v>1.3</v>
      </c>
      <c r="J20" s="7">
        <v>1.95</v>
      </c>
      <c r="K20" s="7">
        <v>1.7383</v>
      </c>
      <c r="L20" s="7">
        <f t="shared" si="2"/>
        <v>0.2117</v>
      </c>
      <c r="M20" s="7">
        <f t="shared" si="3"/>
        <v>0.43829999999999991</v>
      </c>
      <c r="N20" s="7">
        <v>115.98857909557515</v>
      </c>
      <c r="O20" s="8">
        <v>1.1716018090462137</v>
      </c>
      <c r="P20" s="8">
        <f t="shared" si="4"/>
        <v>1.1760290817734864</v>
      </c>
      <c r="Q20" s="9">
        <f t="shared" si="5"/>
        <v>1.9230769230769332E-2</v>
      </c>
      <c r="R20" s="9">
        <f t="shared" si="6"/>
        <v>3.2132031275720913E-3</v>
      </c>
    </row>
    <row r="21" spans="1:18">
      <c r="A21" s="7">
        <v>20</v>
      </c>
      <c r="B21" s="7" t="s">
        <v>38</v>
      </c>
      <c r="C21" s="7">
        <v>5.3</v>
      </c>
      <c r="D21" s="7">
        <v>5.25</v>
      </c>
      <c r="E21" s="7">
        <v>5.5</v>
      </c>
      <c r="F21" s="7">
        <f t="shared" si="7"/>
        <v>5.3500000000000005</v>
      </c>
      <c r="G21" s="8">
        <v>5.0999999999999996</v>
      </c>
      <c r="H21" s="8">
        <f t="shared" si="1"/>
        <v>0.25000000000000089</v>
      </c>
      <c r="I21" s="7">
        <v>1.29</v>
      </c>
      <c r="J21" s="7">
        <v>9.9700000000000006</v>
      </c>
      <c r="K21" s="7">
        <v>4.2008000000000001</v>
      </c>
      <c r="L21" s="7">
        <f t="shared" si="2"/>
        <v>5.7692000000000005</v>
      </c>
      <c r="M21" s="7">
        <f t="shared" si="3"/>
        <v>2.9108000000000001</v>
      </c>
      <c r="N21" s="7">
        <v>96.404920344851718</v>
      </c>
      <c r="O21" s="8">
        <v>0.97378707419042143</v>
      </c>
      <c r="P21" s="8">
        <f t="shared" si="4"/>
        <v>1.0031890943924415</v>
      </c>
      <c r="Q21" s="9">
        <f t="shared" si="5"/>
        <v>4.6728971962616987E-2</v>
      </c>
      <c r="R21" s="9">
        <f t="shared" si="6"/>
        <v>3.0097495888493031E-2</v>
      </c>
    </row>
    <row r="22" spans="1:18">
      <c r="A22" s="7">
        <v>21</v>
      </c>
      <c r="B22" s="7" t="s">
        <v>39</v>
      </c>
      <c r="C22" s="7">
        <v>5.5</v>
      </c>
      <c r="D22" s="7">
        <v>5.45</v>
      </c>
      <c r="E22" s="7">
        <v>5.5</v>
      </c>
      <c r="F22" s="10">
        <f t="shared" si="7"/>
        <v>5.4833333333333334</v>
      </c>
      <c r="G22" s="8">
        <v>5.0999999999999996</v>
      </c>
      <c r="H22" s="8">
        <f t="shared" si="1"/>
        <v>0.38333333333333375</v>
      </c>
      <c r="I22" s="7">
        <v>1.29</v>
      </c>
      <c r="J22" s="7">
        <v>2.78</v>
      </c>
      <c r="K22" s="7">
        <v>2.2242000000000002</v>
      </c>
      <c r="L22" s="7">
        <f t="shared" si="2"/>
        <v>0.55579999999999963</v>
      </c>
      <c r="M22" s="7">
        <f t="shared" si="3"/>
        <v>0.93420000000000014</v>
      </c>
      <c r="N22" s="7">
        <v>112.09764238026597</v>
      </c>
      <c r="O22" s="8">
        <v>1.1322994179824846</v>
      </c>
      <c r="P22" s="8">
        <f t="shared" si="4"/>
        <v>1.1417357816188483</v>
      </c>
      <c r="Q22" s="9">
        <f t="shared" si="5"/>
        <v>6.9908814589665733E-2</v>
      </c>
      <c r="R22" s="9">
        <f t="shared" si="6"/>
        <v>7.2992421649969753E-3</v>
      </c>
    </row>
    <row r="23" spans="1:18">
      <c r="A23" s="7">
        <v>22</v>
      </c>
      <c r="B23" s="7" t="s">
        <v>40</v>
      </c>
      <c r="C23" s="7">
        <v>5.3</v>
      </c>
      <c r="D23" s="7">
        <v>5.3</v>
      </c>
      <c r="E23" s="7">
        <v>5.3</v>
      </c>
      <c r="F23" s="7">
        <f t="shared" si="7"/>
        <v>5.3</v>
      </c>
      <c r="G23" s="8">
        <v>5.0999999999999996</v>
      </c>
      <c r="H23" s="8">
        <f t="shared" si="1"/>
        <v>0.20000000000000018</v>
      </c>
      <c r="I23" s="7">
        <v>1.28</v>
      </c>
      <c r="J23" s="7">
        <v>4.03</v>
      </c>
      <c r="K23" s="7">
        <v>3.2048999999999999</v>
      </c>
      <c r="L23" s="7">
        <f t="shared" si="2"/>
        <v>0.82510000000000039</v>
      </c>
      <c r="M23" s="7">
        <f t="shared" si="3"/>
        <v>1.9248999999999998</v>
      </c>
      <c r="N23" s="7">
        <v>112.91344819372577</v>
      </c>
      <c r="O23" s="8">
        <v>1.1405398807447047</v>
      </c>
      <c r="P23" s="8">
        <f t="shared" si="4"/>
        <v>1.1599833150881391</v>
      </c>
      <c r="Q23" s="9">
        <f t="shared" si="5"/>
        <v>3.7735849056603807E-2</v>
      </c>
      <c r="R23" s="9">
        <f t="shared" si="6"/>
        <v>1.4696393092387686E-2</v>
      </c>
    </row>
    <row r="24" spans="1:18">
      <c r="A24" s="7">
        <v>23</v>
      </c>
      <c r="B24" s="7" t="s">
        <v>41</v>
      </c>
      <c r="C24" s="7">
        <v>5.5</v>
      </c>
      <c r="D24" s="7">
        <v>5.0999999999999996</v>
      </c>
      <c r="E24" s="7">
        <v>5.3</v>
      </c>
      <c r="F24" s="7">
        <f t="shared" si="7"/>
        <v>5.3</v>
      </c>
      <c r="G24" s="8">
        <v>5.0999999999999996</v>
      </c>
      <c r="H24" s="8">
        <f t="shared" si="1"/>
        <v>0.20000000000000018</v>
      </c>
      <c r="I24" s="7">
        <v>1.28</v>
      </c>
      <c r="J24" s="7">
        <v>2.17</v>
      </c>
      <c r="K24" s="7">
        <v>1.7825</v>
      </c>
      <c r="L24" s="7">
        <f t="shared" si="2"/>
        <v>0.38749999999999996</v>
      </c>
      <c r="M24" s="7">
        <f t="shared" si="3"/>
        <v>0.50249999999999995</v>
      </c>
      <c r="N24" s="7">
        <v>82.298491091949586</v>
      </c>
      <c r="O24" s="8">
        <v>0.83129788981767261</v>
      </c>
      <c r="P24" s="8">
        <f t="shared" si="4"/>
        <v>0.83637364739343012</v>
      </c>
      <c r="Q24" s="9">
        <f t="shared" si="5"/>
        <v>3.7735849056603807E-2</v>
      </c>
      <c r="R24" s="9">
        <f t="shared" si="6"/>
        <v>7.300352873085795E-3</v>
      </c>
    </row>
    <row r="25" spans="1:18">
      <c r="A25" s="7">
        <v>24</v>
      </c>
      <c r="B25" s="7" t="s">
        <v>42</v>
      </c>
      <c r="C25" s="7">
        <v>5.3</v>
      </c>
      <c r="D25" s="7">
        <v>5.0999999999999996</v>
      </c>
      <c r="E25" s="7">
        <v>5.0999999999999996</v>
      </c>
      <c r="F25" s="11">
        <f t="shared" si="7"/>
        <v>5.1666666666666661</v>
      </c>
      <c r="G25" s="8">
        <v>5.0999999999999996</v>
      </c>
      <c r="H25" s="8">
        <f t="shared" si="1"/>
        <v>6.666666666666643E-2</v>
      </c>
      <c r="I25" s="7">
        <v>1.27</v>
      </c>
      <c r="J25" s="7">
        <v>1.63</v>
      </c>
      <c r="K25" s="7">
        <v>1.4943</v>
      </c>
      <c r="L25" s="7">
        <f t="shared" si="2"/>
        <v>0.13569999999999993</v>
      </c>
      <c r="M25" s="7">
        <f t="shared" si="3"/>
        <v>0.22429999999999994</v>
      </c>
      <c r="N25" s="7">
        <v>101.686038301</v>
      </c>
      <c r="O25" s="8">
        <v>1.027131700010101</v>
      </c>
      <c r="P25" s="8">
        <f t="shared" si="4"/>
        <v>1.0293973565757575</v>
      </c>
      <c r="Q25" s="9">
        <f t="shared" si="5"/>
        <v>1.2903225806451568E-2</v>
      </c>
      <c r="R25" s="9">
        <f t="shared" si="6"/>
        <v>2.1428160833624034E-3</v>
      </c>
    </row>
    <row r="26" spans="1:18">
      <c r="A26" s="7">
        <v>25</v>
      </c>
      <c r="B26" s="7" t="s">
        <v>43</v>
      </c>
      <c r="C26" s="7">
        <v>5.5</v>
      </c>
      <c r="D26" s="7">
        <v>5.4</v>
      </c>
      <c r="E26" s="7">
        <v>5.4</v>
      </c>
      <c r="F26" s="11">
        <f t="shared" si="7"/>
        <v>5.4333333333333336</v>
      </c>
      <c r="G26" s="8">
        <v>5.0999999999999996</v>
      </c>
      <c r="H26" s="8">
        <f t="shared" si="1"/>
        <v>0.33333333333333393</v>
      </c>
      <c r="I26" s="7">
        <v>1.28</v>
      </c>
      <c r="J26" s="7">
        <v>3.39</v>
      </c>
      <c r="K26" s="7">
        <v>2.2050999999999998</v>
      </c>
      <c r="L26" s="7">
        <f t="shared" si="2"/>
        <v>1.1849000000000003</v>
      </c>
      <c r="M26" s="7">
        <f t="shared" si="3"/>
        <v>0.92509999999999981</v>
      </c>
      <c r="N26" s="7">
        <v>89.983572223772626</v>
      </c>
      <c r="O26" s="8">
        <v>0.90892497195729927</v>
      </c>
      <c r="P26" s="8">
        <f t="shared" si="4"/>
        <v>0.91826941640174375</v>
      </c>
      <c r="Q26" s="9">
        <f t="shared" si="5"/>
        <v>6.1349693251533846E-2</v>
      </c>
      <c r="R26" s="9">
        <f t="shared" si="6"/>
        <v>1.1195805133093321E-2</v>
      </c>
    </row>
    <row r="27" spans="1:18">
      <c r="A27" s="7">
        <v>26</v>
      </c>
      <c r="B27" s="7" t="s">
        <v>44</v>
      </c>
      <c r="C27" s="7">
        <v>5.6</v>
      </c>
      <c r="D27" s="7">
        <v>5.3</v>
      </c>
      <c r="E27" s="7">
        <v>5.5</v>
      </c>
      <c r="F27" s="11">
        <f t="shared" si="7"/>
        <v>5.4666666666666659</v>
      </c>
      <c r="G27" s="8">
        <v>5.0999999999999996</v>
      </c>
      <c r="H27" s="8">
        <f t="shared" si="1"/>
        <v>0.36666666666666625</v>
      </c>
      <c r="I27" s="7">
        <v>1.28</v>
      </c>
      <c r="J27" s="7">
        <v>7.18</v>
      </c>
      <c r="K27" s="7">
        <v>5.2515000000000001</v>
      </c>
      <c r="L27" s="7">
        <f t="shared" si="2"/>
        <v>1.9284999999999997</v>
      </c>
      <c r="M27" s="7">
        <f t="shared" si="3"/>
        <v>3.9714999999999998</v>
      </c>
      <c r="N27" s="7">
        <v>120.05602797596096</v>
      </c>
      <c r="O27" s="8">
        <v>1.212687151272333</v>
      </c>
      <c r="P27" s="8">
        <f t="shared" si="4"/>
        <v>1.2528033128884946</v>
      </c>
      <c r="Q27" s="9">
        <f t="shared" si="5"/>
        <v>6.7073170731707252E-2</v>
      </c>
      <c r="R27" s="9">
        <f t="shared" si="6"/>
        <v>2.6405093095166036E-2</v>
      </c>
    </row>
    <row r="28" spans="1:18">
      <c r="A28" s="7">
        <v>27</v>
      </c>
      <c r="B28" s="7" t="s">
        <v>45</v>
      </c>
      <c r="C28" s="7">
        <v>5.6</v>
      </c>
      <c r="D28" s="7">
        <v>5.5</v>
      </c>
      <c r="E28" s="7">
        <v>5.3</v>
      </c>
      <c r="F28" s="11">
        <f t="shared" si="7"/>
        <v>5.4666666666666659</v>
      </c>
      <c r="G28" s="8">
        <v>5.0999999999999996</v>
      </c>
      <c r="H28" s="8">
        <f t="shared" si="1"/>
        <v>0.36666666666666625</v>
      </c>
      <c r="I28" s="7">
        <v>1.28</v>
      </c>
      <c r="J28" s="7">
        <v>6.17</v>
      </c>
      <c r="K28" s="7">
        <v>3.4419</v>
      </c>
      <c r="L28" s="7">
        <f t="shared" si="2"/>
        <v>2.7281</v>
      </c>
      <c r="M28" s="7">
        <f t="shared" si="3"/>
        <v>2.1619000000000002</v>
      </c>
      <c r="N28" s="7">
        <v>81.714328976071911</v>
      </c>
      <c r="O28" s="8">
        <v>0.82539726238456479</v>
      </c>
      <c r="P28" s="8">
        <f t="shared" si="4"/>
        <v>0.8472346361219385</v>
      </c>
      <c r="Q28" s="9">
        <f t="shared" si="5"/>
        <v>6.7073170731707252E-2</v>
      </c>
      <c r="R28" s="9">
        <f t="shared" si="6"/>
        <v>3.1227245732021614E-2</v>
      </c>
    </row>
    <row r="29" spans="1:18">
      <c r="A29" s="7">
        <v>28</v>
      </c>
      <c r="B29" s="7" t="s">
        <v>46</v>
      </c>
      <c r="C29" s="7">
        <v>5.0999999999999996</v>
      </c>
      <c r="D29" s="7">
        <v>5.4</v>
      </c>
      <c r="E29" s="7">
        <v>5.3</v>
      </c>
      <c r="F29" s="11">
        <f t="shared" si="7"/>
        <v>5.2666666666666666</v>
      </c>
      <c r="G29" s="8">
        <v>5.0999999999999996</v>
      </c>
      <c r="H29" s="8">
        <f t="shared" si="1"/>
        <v>0.16666666666666696</v>
      </c>
      <c r="I29" s="7">
        <v>1.28</v>
      </c>
      <c r="J29" s="7">
        <v>4.58</v>
      </c>
      <c r="K29" s="7">
        <v>3.2031000000000001</v>
      </c>
      <c r="L29" s="7">
        <f t="shared" si="2"/>
        <v>1.3769</v>
      </c>
      <c r="M29" s="7">
        <f t="shared" si="3"/>
        <v>1.9231</v>
      </c>
      <c r="N29" s="7">
        <v>85.992937562807583</v>
      </c>
      <c r="O29" s="8">
        <v>0.86861553093745036</v>
      </c>
      <c r="P29" s="8">
        <f t="shared" si="4"/>
        <v>0.88804078346270288</v>
      </c>
      <c r="Q29" s="9">
        <f t="shared" si="5"/>
        <v>3.1645569620253222E-2</v>
      </c>
      <c r="R29" s="9">
        <f t="shared" si="6"/>
        <v>2.5182924975527685E-2</v>
      </c>
    </row>
    <row r="30" spans="1:18">
      <c r="A30" s="7">
        <v>29</v>
      </c>
      <c r="B30" s="7" t="s">
        <v>47</v>
      </c>
      <c r="C30" s="7">
        <v>5.8</v>
      </c>
      <c r="D30" s="7">
        <v>5.8</v>
      </c>
      <c r="E30" s="7">
        <v>5.6</v>
      </c>
      <c r="F30" s="11">
        <f t="shared" si="7"/>
        <v>5.7333333333333334</v>
      </c>
      <c r="G30" s="8">
        <v>5.0999999999999996</v>
      </c>
      <c r="H30" s="8">
        <f t="shared" si="1"/>
        <v>0.63333333333333375</v>
      </c>
      <c r="I30" s="7">
        <v>1.3</v>
      </c>
      <c r="J30" s="12">
        <v>7.77</v>
      </c>
      <c r="K30" s="7">
        <v>5.0281000000000002</v>
      </c>
      <c r="L30" s="7">
        <f t="shared" si="2"/>
        <v>2.7418999999999993</v>
      </c>
      <c r="M30" s="7">
        <f t="shared" si="3"/>
        <v>3.7281000000000004</v>
      </c>
      <c r="N30" s="7">
        <v>87.506170946018713</v>
      </c>
      <c r="O30" s="8">
        <v>0.88390071662645164</v>
      </c>
      <c r="P30" s="8">
        <f t="shared" si="4"/>
        <v>0.92155829238402742</v>
      </c>
      <c r="Q30" s="9">
        <f t="shared" si="5"/>
        <v>0.11046511627906984</v>
      </c>
      <c r="R30" s="9">
        <f t="shared" si="6"/>
        <v>4.6230230745140988E-2</v>
      </c>
    </row>
    <row r="31" spans="1:18">
      <c r="A31" s="7">
        <v>30</v>
      </c>
      <c r="B31" s="7" t="s">
        <v>48</v>
      </c>
      <c r="C31" s="7">
        <v>5.0999999999999996</v>
      </c>
      <c r="D31" s="7">
        <v>5.0999999999999996</v>
      </c>
      <c r="E31" s="7">
        <v>5.0999999999999996</v>
      </c>
      <c r="F31" s="11">
        <f t="shared" si="7"/>
        <v>5.0999999999999996</v>
      </c>
      <c r="G31" s="8">
        <v>5.0999999999999996</v>
      </c>
      <c r="H31" s="8">
        <f t="shared" si="1"/>
        <v>0</v>
      </c>
      <c r="I31" s="7">
        <v>0</v>
      </c>
      <c r="J31" s="7">
        <v>0</v>
      </c>
      <c r="K31" s="7">
        <v>0</v>
      </c>
      <c r="L31" s="7">
        <f t="shared" si="2"/>
        <v>0</v>
      </c>
      <c r="M31" s="7">
        <f t="shared" si="3"/>
        <v>0</v>
      </c>
      <c r="N31" s="7">
        <v>78.583171870559823</v>
      </c>
      <c r="O31" s="8">
        <v>0.79376941283393765</v>
      </c>
      <c r="P31" s="8">
        <f t="shared" si="4"/>
        <v>0.79376941283393765</v>
      </c>
      <c r="Q31" s="9">
        <f t="shared" si="5"/>
        <v>0</v>
      </c>
      <c r="R31" s="9">
        <f t="shared" si="6"/>
        <v>0</v>
      </c>
    </row>
    <row r="32" spans="1:18">
      <c r="A32" s="7">
        <v>31</v>
      </c>
      <c r="B32" s="7" t="s">
        <v>49</v>
      </c>
      <c r="C32" s="7">
        <v>5.5</v>
      </c>
      <c r="D32" s="7">
        <v>5.4</v>
      </c>
      <c r="E32" s="7">
        <v>5.3</v>
      </c>
      <c r="F32" s="11">
        <f t="shared" si="7"/>
        <v>5.3999999999999995</v>
      </c>
      <c r="G32" s="8">
        <v>5.0999999999999996</v>
      </c>
      <c r="H32" s="8">
        <f t="shared" si="1"/>
        <v>0.29999999999999982</v>
      </c>
      <c r="I32" s="7">
        <v>1.27</v>
      </c>
      <c r="J32" s="7">
        <v>3.03</v>
      </c>
      <c r="K32" s="7">
        <v>2.37</v>
      </c>
      <c r="L32" s="7">
        <f t="shared" si="2"/>
        <v>0.6599999999999997</v>
      </c>
      <c r="M32" s="7">
        <f t="shared" si="3"/>
        <v>1.1000000000000001</v>
      </c>
      <c r="N32" s="7">
        <v>100.1213220815593</v>
      </c>
      <c r="O32" s="8">
        <v>1.0113264856723161</v>
      </c>
      <c r="P32" s="8">
        <f t="shared" si="4"/>
        <v>1.0224375967834272</v>
      </c>
      <c r="Q32" s="9">
        <f t="shared" si="5"/>
        <v>5.5555555555555525E-2</v>
      </c>
      <c r="R32" s="9">
        <f t="shared" si="6"/>
        <v>1.0745566063811775E-2</v>
      </c>
    </row>
    <row r="33" spans="1:18">
      <c r="A33" s="7">
        <v>32</v>
      </c>
      <c r="B33" s="7" t="s">
        <v>50</v>
      </c>
      <c r="C33" s="7">
        <v>5.4</v>
      </c>
      <c r="D33" s="7">
        <v>5.0999999999999996</v>
      </c>
      <c r="E33" s="7">
        <v>5.0999999999999996</v>
      </c>
      <c r="F33" s="11">
        <f t="shared" si="7"/>
        <v>5.2</v>
      </c>
      <c r="G33" s="8">
        <v>5.0999999999999996</v>
      </c>
      <c r="H33" s="8">
        <f t="shared" si="1"/>
        <v>0.10000000000000053</v>
      </c>
      <c r="I33" s="7">
        <v>1.29</v>
      </c>
      <c r="J33" s="7">
        <v>2.73</v>
      </c>
      <c r="K33" s="7">
        <v>2.0857999999999999</v>
      </c>
      <c r="L33" s="7">
        <f t="shared" si="2"/>
        <v>0.64420000000000011</v>
      </c>
      <c r="M33" s="7">
        <f t="shared" si="3"/>
        <v>0.79579999999999984</v>
      </c>
      <c r="N33" s="7">
        <v>81.154204341114749</v>
      </c>
      <c r="O33" s="8">
        <v>0.81973943778903791</v>
      </c>
      <c r="P33" s="8">
        <f t="shared" si="4"/>
        <v>0.82777782162742175</v>
      </c>
      <c r="Q33" s="9">
        <f t="shared" si="5"/>
        <v>1.9230769230769332E-2</v>
      </c>
      <c r="R33" s="9">
        <f t="shared" si="6"/>
        <v>1.1846201738969999E-2</v>
      </c>
    </row>
    <row r="34" spans="1:18">
      <c r="A34" s="7">
        <v>33</v>
      </c>
      <c r="B34" s="7" t="s">
        <v>51</v>
      </c>
      <c r="C34" s="7">
        <v>5.4</v>
      </c>
      <c r="D34" s="7">
        <v>5.5</v>
      </c>
      <c r="E34" s="7">
        <v>5.6</v>
      </c>
      <c r="F34" s="11">
        <f t="shared" si="7"/>
        <v>5.5</v>
      </c>
      <c r="G34" s="8">
        <v>5.0999999999999996</v>
      </c>
      <c r="H34" s="8">
        <f t="shared" si="1"/>
        <v>0.40000000000000036</v>
      </c>
      <c r="I34" s="7">
        <v>1.27</v>
      </c>
      <c r="J34" s="7">
        <v>4.13</v>
      </c>
      <c r="K34" s="7">
        <v>2.6692999999999998</v>
      </c>
      <c r="L34" s="7">
        <f t="shared" si="2"/>
        <v>1.4607000000000001</v>
      </c>
      <c r="M34" s="7">
        <f t="shared" si="3"/>
        <v>1.3992999999999998</v>
      </c>
      <c r="N34" s="7">
        <v>79.730346573596023</v>
      </c>
      <c r="O34" s="8">
        <v>0.80535703609692955</v>
      </c>
      <c r="P34" s="8">
        <f t="shared" si="4"/>
        <v>0.81949137953127293</v>
      </c>
      <c r="Q34" s="9">
        <f t="shared" si="5"/>
        <v>7.2727272727272793E-2</v>
      </c>
      <c r="R34" s="9">
        <f t="shared" si="6"/>
        <v>2.1416218680590082E-2</v>
      </c>
    </row>
    <row r="35" spans="1:18">
      <c r="A35" s="7">
        <v>34</v>
      </c>
      <c r="B35" s="7" t="s">
        <v>52</v>
      </c>
      <c r="C35" s="7">
        <v>5.5</v>
      </c>
      <c r="D35" s="7">
        <v>5.3</v>
      </c>
      <c r="E35" s="7">
        <v>5.5</v>
      </c>
      <c r="F35" s="11">
        <f t="shared" si="7"/>
        <v>5.4333333333333336</v>
      </c>
      <c r="G35" s="8">
        <v>5.0999999999999996</v>
      </c>
      <c r="H35" s="8">
        <f t="shared" si="1"/>
        <v>0.33333333333333393</v>
      </c>
      <c r="I35" s="7">
        <v>1.28</v>
      </c>
      <c r="J35" s="7">
        <v>4.33</v>
      </c>
      <c r="K35" s="7">
        <v>3.2517999999999998</v>
      </c>
      <c r="L35" s="7">
        <f t="shared" si="2"/>
        <v>1.0782000000000003</v>
      </c>
      <c r="M35" s="7">
        <f t="shared" si="3"/>
        <v>1.9717999999999998</v>
      </c>
      <c r="N35" s="7">
        <v>145.17681245611715</v>
      </c>
      <c r="O35" s="8">
        <v>1.4664324490516885</v>
      </c>
      <c r="P35" s="8">
        <f t="shared" si="4"/>
        <v>1.48634962076886</v>
      </c>
      <c r="Q35" s="9">
        <f t="shared" si="5"/>
        <v>6.1349693251533846E-2</v>
      </c>
      <c r="R35" s="9">
        <f t="shared" si="6"/>
        <v>9.1378627130139414E-3</v>
      </c>
    </row>
    <row r="36" spans="1:18">
      <c r="A36" s="7">
        <v>35</v>
      </c>
      <c r="B36" s="7" t="s">
        <v>53</v>
      </c>
      <c r="C36" s="7">
        <v>5.5</v>
      </c>
      <c r="D36" s="7">
        <v>5.6</v>
      </c>
      <c r="E36" s="7">
        <v>5.6</v>
      </c>
      <c r="F36" s="11">
        <f t="shared" si="7"/>
        <v>5.5666666666666664</v>
      </c>
      <c r="G36" s="8">
        <v>5.0999999999999996</v>
      </c>
      <c r="H36" s="8">
        <f t="shared" si="1"/>
        <v>0.46666666666666679</v>
      </c>
      <c r="I36" s="7">
        <v>1.7</v>
      </c>
      <c r="J36" s="7">
        <v>13.24</v>
      </c>
      <c r="K36" s="7">
        <v>7.4772999999999996</v>
      </c>
      <c r="L36" s="7">
        <f t="shared" si="2"/>
        <v>5.7627000000000006</v>
      </c>
      <c r="M36" s="7">
        <f t="shared" si="3"/>
        <v>5.7772999999999994</v>
      </c>
      <c r="N36" s="7">
        <v>230.18956523191054</v>
      </c>
      <c r="O36" s="8">
        <v>0.92075826092764212</v>
      </c>
      <c r="P36" s="8">
        <f>(N36+M36)/250</f>
        <v>0.94386746092764218</v>
      </c>
      <c r="Q36" s="9">
        <f t="shared" si="5"/>
        <v>8.383233532934134E-2</v>
      </c>
      <c r="R36" s="9">
        <f t="shared" si="6"/>
        <v>2.6590608316465116E-2</v>
      </c>
    </row>
    <row r="37" spans="1:18">
      <c r="A37" s="7">
        <v>36</v>
      </c>
      <c r="B37" s="7" t="s">
        <v>54</v>
      </c>
      <c r="C37" s="7">
        <v>5.4</v>
      </c>
      <c r="D37" s="7">
        <v>5.3</v>
      </c>
      <c r="E37" s="7">
        <v>5.3</v>
      </c>
      <c r="F37" s="11">
        <f t="shared" si="7"/>
        <v>5.333333333333333</v>
      </c>
      <c r="G37" s="8">
        <v>5.0999999999999996</v>
      </c>
      <c r="H37" s="8">
        <f t="shared" si="1"/>
        <v>0.23333333333333339</v>
      </c>
      <c r="I37" s="7">
        <v>1.64</v>
      </c>
      <c r="J37" s="7">
        <v>3.54</v>
      </c>
      <c r="K37" s="7">
        <v>2.4731000000000001</v>
      </c>
      <c r="L37" s="7">
        <f t="shared" si="2"/>
        <v>1.0669</v>
      </c>
      <c r="M37" s="7">
        <f t="shared" si="3"/>
        <v>0.83310000000000017</v>
      </c>
      <c r="N37" s="7">
        <v>182.19633118994614</v>
      </c>
      <c r="O37" s="8">
        <v>0.72878532475978453</v>
      </c>
      <c r="P37" s="8">
        <f>(N37+M37)/250</f>
        <v>0.73211772475978454</v>
      </c>
      <c r="Q37" s="9">
        <f t="shared" si="5"/>
        <v>4.3750000000000011E-2</v>
      </c>
      <c r="R37" s="9">
        <f t="shared" si="6"/>
        <v>6.2456347910901664E-3</v>
      </c>
    </row>
    <row r="38" spans="1:1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b0c7577-6c1b-478c-923a-a650d6d013be" xsi:nil="true"/>
    <lcf76f155ced4ddcb4097134ff3c332f xmlns="0feec21d-23b4-4c00-874b-59d5ed798470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C27785EF916B49928F172402C7A269" ma:contentTypeVersion="10" ma:contentTypeDescription="Create a new document." ma:contentTypeScope="" ma:versionID="c7a9e26b68c7148b1f4c19027baf6be7">
  <xsd:schema xmlns:xsd="http://www.w3.org/2001/XMLSchema" xmlns:xs="http://www.w3.org/2001/XMLSchema" xmlns:p="http://schemas.microsoft.com/office/2006/metadata/properties" xmlns:ns2="0feec21d-23b4-4c00-874b-59d5ed798470" xmlns:ns3="4b0c7577-6c1b-478c-923a-a650d6d013be" targetNamespace="http://schemas.microsoft.com/office/2006/metadata/properties" ma:root="true" ma:fieldsID="ea92f46ce11959a32adf5425306acb8a" ns2:_="" ns3:_="">
    <xsd:import namespace="0feec21d-23b4-4c00-874b-59d5ed798470"/>
    <xsd:import namespace="4b0c7577-6c1b-478c-923a-a650d6d013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eec21d-23b4-4c00-874b-59d5ed7984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60f1aaf-6244-4bb9-9bf9-38bf373853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0c7577-6c1b-478c-923a-a650d6d013b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bfbe42e-f273-43a9-a7a9-070c840fd784}" ma:internalName="TaxCatchAll" ma:showField="CatchAllData" ma:web="4b0c7577-6c1b-478c-923a-a650d6d013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C4432ED-51A7-47DB-A2E5-FC6D856802F5}"/>
</file>

<file path=customXml/itemProps2.xml><?xml version="1.0" encoding="utf-8"?>
<ds:datastoreItem xmlns:ds="http://schemas.openxmlformats.org/officeDocument/2006/customXml" ds:itemID="{C3126644-1600-4555-830C-CC23B7FBAEF0}"/>
</file>

<file path=customXml/itemProps3.xml><?xml version="1.0" encoding="utf-8"?>
<ds:datastoreItem xmlns:ds="http://schemas.openxmlformats.org/officeDocument/2006/customXml" ds:itemID="{F437F902-98E6-41F6-B5D5-5F7B6C96F29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Rod, Kenton A</cp:lastModifiedBy>
  <cp:revision/>
  <dcterms:created xsi:type="dcterms:W3CDTF">2026-05-08T20:03:24Z</dcterms:created>
  <dcterms:modified xsi:type="dcterms:W3CDTF">2026-05-08T20:15:38Z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0x01010099C27785EF916B49928F172402C7A269</vt:lpwstr>
  </property>
  <property fmtid="{D5CDD505-2E9C-101B-9397-08002B2CF9AE}" pid="3" name="MediaServiceImageTags">
    <vt:lpwstr/>
  </property>
</Properties>
</file>
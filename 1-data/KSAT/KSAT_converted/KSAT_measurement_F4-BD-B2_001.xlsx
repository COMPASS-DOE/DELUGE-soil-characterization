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<sst xmlns="http://schemas.openxmlformats.org/spreadsheetml/2006/main" count="107" uniqueCount="106">
  <si>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</si>
  <si>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</si>
  <si>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</si>
  <si>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</si>
  <si>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</si>
  <si>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</si>
  <si>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</si>
  <si>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</si>
  <si>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</si>
  <si>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</si>
  <si>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</si>
  <si>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</si>
  <si>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KSAT_measurement_F4-BD-B2_001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</si>
  <si>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</si>
  <si>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</si>
  <si>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</si>
  <si>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</si>
  <si>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</si>
  <si>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</si>
  <si>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</si>
  <si>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</si>
  <si>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</si>
  <si>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</si>
  <si>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</si>
  <si>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</si>
  <si>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</si>
  <si>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</si>
  <si>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</si>
  <si>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</si>
  <si>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</si>
  <si>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</si>
  <si>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</si>
  <si>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</si>
  <si>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</si>
  <si>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</si>
  <si>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</si>
  <si>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</si>
  <si>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</si>
  <si>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</si>
  <si>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</si>
  <si>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</si>
  <si>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</si>
  <si>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</si>
  <si>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</si>
  <si>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</si>
  <si>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</si>
  <si>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</si>
  <si>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</si>
  <si>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</si>
  <si>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</si>
  <si>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</si>
  <si>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</si>
  <si>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</si>
  <si>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</si>
  <si>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</si>
  <si>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</si>
  <si>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</si>
  <si>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</si>
  <si>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</si>
  <si>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</si>
  <si>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</si>
  <si>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</si>
  <si>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</si>
  <si>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</si>
  <si>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</si>
  <si>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11/3/2025 4:49:54 PM</t>
  </si>
  <si>
    <t>Test duration</t>
  </si>
  <si>
    <t>00:31:59</t>
  </si>
  <si>
    <t>RESULT</t>
  </si>
  <si>
    <t>Use auto offset adjustment</t>
  </si>
  <si>
    <t>Max offset adjustment [cm]</t>
  </si>
  <si>
    <t>1</t>
  </si>
  <si>
    <t>Fitting Parameter a [cm]</t>
  </si>
  <si>
    <t>16.79</t>
  </si>
  <si>
    <t>coefficient a of the fitted exponential pressure head decrease function y = a * exp(-b*t)+c, where y is the pressure head in cm and t is time in s</t>
  </si>
  <si>
    <t>Fitting Parameter b [s-1]</t>
  </si>
  <si>
    <t>-3.76E-04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</si>
  <si>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</si>
  <si>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</si>
  <si>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</si>
  <si>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</si>
  <si>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0.9960</t>
  </si>
  <si>
    <t>coefficient of determination of the exponential pressure head decrease function that is fitted to the observed data</t>
  </si>
  <si>
    <t>Ks Total [cm/d]</t>
  </si>
  <si>
    <t>46.451</t>
  </si>
  <si>
    <t>Saturated hydraulic conductivity [cm/d] of the entire system</t>
  </si>
  <si>
    <t>Ks Total [m/s]</t>
  </si>
  <si>
    <t>5.40E-06</t>
  </si>
  <si>
    <t>Saturated hydraulic conductivity [m/s] of the entire system</t>
  </si>
  <si>
    <t>Ks Soil [cm/d]</t>
  </si>
  <si>
    <t>38.232</t>
  </si>
  <si>
    <t>Saturated hydraulic conductivity [cm/d] of the soil sample itself</t>
  </si>
  <si>
    <t>Ks Soil [m/s]</t>
  </si>
  <si>
    <t>4.45E-06</t>
  </si>
  <si>
    <t>Saturated hydraulic conductivity [m/s] of the soil sample itself</t>
  </si>
  <si>
    <t>36.949</t>
  </si>
  <si>
    <t>Saturated hydraulic conductivity [cm/d] of the soil sample  normalized to 10 °C mean field temperature</t>
  </si>
  <si>
    <t>4.30E-06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</si>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</sst>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71</v>
      </c>
      <c r="C45" t="s">
        <v>79</v>
      </c>
    </row>
    <row r="46" spans="1:3" x14ac:dyDescent="0.2">
      <c r="A46" t="s">
        <v>80</v>
      </c>
      <c r="B46" t="s">
        <v>81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s="3" t="s">
        <v>87</v>
      </c>
      <c r="C48" s="3" t="s">
        <v>88</v>
      </c>
    </row>
    <row r="49" spans="1:6" x14ac:dyDescent="0.2">
      <c r="A49" t="s">
        <v>89</v>
      </c>
      <c r="B49" t="s">
        <v>90</v>
      </c>
      <c r="C49" t="s">
        <v>91</v>
      </c>
    </row>
    <row r="50" spans="1:6" x14ac:dyDescent="0.2">
      <c r="A50" t="s">
        <v>92</v>
      </c>
      <c r="B50" s="3" t="s">
        <v>93</v>
      </c>
      <c r="C50" s="3" t="s">
        <v>94</v>
      </c>
    </row>
    <row r="51" spans="1:6" x14ac:dyDescent="0.2">
      <c r="A51" t="str">
        <f>CONCATENATE("Ks Soil normalized at ",B32," °C [cm/d]")</f>
        <v>Ks Soil normalized at 20 °C [cm/d]</v>
      </c>
      <c r="B51" t="s">
        <v>95</v>
      </c>
      <c r="C51" t="s">
        <v>96</v>
      </c>
    </row>
    <row r="52" spans="1:6" x14ac:dyDescent="0.2">
      <c r="A52" t="str">
        <f>CONCATENATE("Ks Soil normalized at ",B32," °C [m/s]")</f>
        <v>Ks Soil normalized at 20 °C [m/s]</v>
      </c>
      <c r="B52" s="3" t="s">
        <v>97</v>
      </c>
      <c r="C52" s="3" t="s">
        <v>98</v>
      </c>
    </row>
    <row r="54" spans="1:6" x14ac:dyDescent="0.2">
      <c r="A54" t="s">
        <v>99</v>
      </c>
    </row>
    <row r="55" spans="1:6" x14ac:dyDescent="0.2">
      <c r="A55" s="1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</row>
    <row r="56" spans="1:6" x14ac:dyDescent="0.2">
      <c r="A56" s="4">
        <v>45964.701321215303</v>
      </c>
      <c r="B56">
        <v>153</v>
      </c>
      <c r="C56">
        <v>-5.91</v>
      </c>
      <c r="D56">
        <v>10.782</v>
      </c>
      <c r="E56">
        <v>-99999</v>
      </c>
      <c r="F56">
        <v>21.43</v>
      </c>
    </row>
    <row r="57" spans="1:6" x14ac:dyDescent="0.2">
      <c r="A57" s="4">
        <v>45964.701389618102</v>
      </c>
      <c r="B57">
        <v>63</v>
      </c>
      <c r="C57">
        <v>0</v>
      </c>
      <c r="D57">
        <v>15.794</v>
      </c>
      <c r="E57">
        <v>15.794</v>
      </c>
      <c r="F57">
        <v>21.43</v>
      </c>
    </row>
    <row r="58" spans="1:6" x14ac:dyDescent="0.2">
      <c r="A58" s="4">
        <v>45964.704726909702</v>
      </c>
      <c r="B58">
        <v>405</v>
      </c>
      <c r="C58">
        <v>288.33999999999997</v>
      </c>
      <c r="D58">
        <v>15.691000000000001</v>
      </c>
      <c r="E58">
        <v>14.07</v>
      </c>
      <c r="F58">
        <v>21.41</v>
      </c>
    </row>
    <row r="59" spans="1:6" x14ac:dyDescent="0.2">
      <c r="A59" s="4">
        <v>45964.7049096759</v>
      </c>
      <c r="B59">
        <v>196</v>
      </c>
      <c r="C59">
        <v>304.13</v>
      </c>
      <c r="D59">
        <v>15.59</v>
      </c>
      <c r="E59">
        <v>13.981</v>
      </c>
      <c r="F59">
        <v>21.41</v>
      </c>
    </row>
    <row r="60" spans="1:6" x14ac:dyDescent="0.2">
      <c r="A60" s="4">
        <v>45964.705027291697</v>
      </c>
      <c r="B60">
        <v>358</v>
      </c>
      <c r="C60">
        <v>314.29000000000002</v>
      </c>
      <c r="D60">
        <v>15.489000000000001</v>
      </c>
      <c r="E60">
        <v>13.923999999999999</v>
      </c>
      <c r="F60">
        <v>21.41</v>
      </c>
    </row>
    <row r="61" spans="1:6" x14ac:dyDescent="0.2">
      <c r="A61" s="4">
        <v>45964.7052445718</v>
      </c>
      <c r="B61">
        <v>131</v>
      </c>
      <c r="C61">
        <v>333.07</v>
      </c>
      <c r="D61">
        <v>15.385</v>
      </c>
      <c r="E61">
        <v>13.819000000000001</v>
      </c>
      <c r="F61">
        <v>21.41</v>
      </c>
    </row>
    <row r="62" spans="1:6" x14ac:dyDescent="0.2">
      <c r="A62" s="4">
        <v>45964.705394606499</v>
      </c>
      <c r="B62">
        <v>94</v>
      </c>
      <c r="C62">
        <v>346.03</v>
      </c>
      <c r="D62">
        <v>15.284000000000001</v>
      </c>
      <c r="E62">
        <v>13.747</v>
      </c>
      <c r="F62">
        <v>21.41</v>
      </c>
    </row>
    <row r="63" spans="1:6" x14ac:dyDescent="0.2">
      <c r="A63" s="4">
        <v>45964.705566990699</v>
      </c>
      <c r="B63">
        <v>988</v>
      </c>
      <c r="C63">
        <v>360.92</v>
      </c>
      <c r="D63">
        <v>15.183999999999999</v>
      </c>
      <c r="E63">
        <v>13.664</v>
      </c>
      <c r="F63">
        <v>21.41</v>
      </c>
    </row>
    <row r="64" spans="1:6" x14ac:dyDescent="0.2">
      <c r="A64" s="4">
        <v>45964.705739351899</v>
      </c>
      <c r="B64">
        <v>880</v>
      </c>
      <c r="C64">
        <v>375.82</v>
      </c>
      <c r="D64">
        <v>15.083</v>
      </c>
      <c r="E64">
        <v>13.583</v>
      </c>
      <c r="F64">
        <v>21.41</v>
      </c>
    </row>
    <row r="65" spans="1:6" x14ac:dyDescent="0.2">
      <c r="A65" s="4">
        <v>45964.705912048601</v>
      </c>
      <c r="B65">
        <v>801</v>
      </c>
      <c r="C65">
        <v>390.74</v>
      </c>
      <c r="D65">
        <v>14.981999999999999</v>
      </c>
      <c r="E65">
        <v>13.500999999999999</v>
      </c>
      <c r="F65">
        <v>21.41</v>
      </c>
    </row>
    <row r="66" spans="1:6" x14ac:dyDescent="0.2">
      <c r="A66" s="4">
        <v>45964.706095868103</v>
      </c>
      <c r="B66">
        <v>683</v>
      </c>
      <c r="C66">
        <v>406.62</v>
      </c>
      <c r="D66">
        <v>14.879</v>
      </c>
      <c r="E66">
        <v>13.414999999999999</v>
      </c>
      <c r="F66">
        <v>21.41</v>
      </c>
    </row>
    <row r="67" spans="1:6" x14ac:dyDescent="0.2">
      <c r="A67" s="4">
        <v>45964.706279675898</v>
      </c>
      <c r="B67">
        <v>564</v>
      </c>
      <c r="C67">
        <v>422.5</v>
      </c>
      <c r="D67">
        <v>14.772</v>
      </c>
      <c r="E67">
        <v>13.329000000000001</v>
      </c>
      <c r="F67">
        <v>21.41</v>
      </c>
    </row>
    <row r="68" spans="1:6" x14ac:dyDescent="0.2">
      <c r="A68" s="4">
        <v>45964.706452175902</v>
      </c>
      <c r="B68">
        <v>468</v>
      </c>
      <c r="C68">
        <v>437.4</v>
      </c>
      <c r="D68">
        <v>14.670999999999999</v>
      </c>
      <c r="E68">
        <v>13.249000000000001</v>
      </c>
      <c r="F68">
        <v>21.41</v>
      </c>
    </row>
    <row r="69" spans="1:6" x14ac:dyDescent="0.2">
      <c r="A69" s="4">
        <v>45964.706636111099</v>
      </c>
      <c r="B69">
        <v>360</v>
      </c>
      <c r="C69">
        <v>453.3</v>
      </c>
      <c r="D69">
        <v>14.565</v>
      </c>
      <c r="E69">
        <v>13.164</v>
      </c>
      <c r="F69">
        <v>21.41</v>
      </c>
    </row>
    <row r="70" spans="1:6" x14ac:dyDescent="0.2">
      <c r="A70" s="4">
        <v>45964.706830231502</v>
      </c>
      <c r="B70">
        <v>132</v>
      </c>
      <c r="C70">
        <v>470.07</v>
      </c>
      <c r="D70">
        <v>14.46</v>
      </c>
      <c r="E70">
        <v>13.074999999999999</v>
      </c>
      <c r="F70">
        <v>21.41</v>
      </c>
    </row>
    <row r="71" spans="1:6" x14ac:dyDescent="0.2">
      <c r="A71" s="4">
        <v>45964.707002581003</v>
      </c>
      <c r="B71">
        <v>23</v>
      </c>
      <c r="C71">
        <v>484.96</v>
      </c>
      <c r="D71">
        <v>14.356</v>
      </c>
      <c r="E71">
        <v>12.997</v>
      </c>
      <c r="F71">
        <v>21.41</v>
      </c>
    </row>
    <row r="72" spans="1:6" x14ac:dyDescent="0.2">
      <c r="A72" s="4">
        <v>45964.7071972454</v>
      </c>
      <c r="B72">
        <v>842</v>
      </c>
      <c r="C72">
        <v>501.78</v>
      </c>
      <c r="D72">
        <v>14.241</v>
      </c>
      <c r="E72">
        <v>12.909000000000001</v>
      </c>
      <c r="F72">
        <v>21.41</v>
      </c>
    </row>
    <row r="73" spans="1:6" x14ac:dyDescent="0.2">
      <c r="A73" s="4">
        <v>45964.707391342599</v>
      </c>
      <c r="B73">
        <v>612</v>
      </c>
      <c r="C73">
        <v>518.54999999999995</v>
      </c>
      <c r="D73">
        <v>14.14</v>
      </c>
      <c r="E73">
        <v>12.821</v>
      </c>
      <c r="F73">
        <v>21.4</v>
      </c>
    </row>
    <row r="74" spans="1:6" x14ac:dyDescent="0.2">
      <c r="A74" s="4">
        <v>45964.707573657397</v>
      </c>
      <c r="B74">
        <v>364</v>
      </c>
      <c r="C74">
        <v>534.29999999999995</v>
      </c>
      <c r="D74">
        <v>14.04</v>
      </c>
      <c r="E74">
        <v>12.74</v>
      </c>
      <c r="F74">
        <v>21.4</v>
      </c>
    </row>
    <row r="75" spans="1:6" x14ac:dyDescent="0.2">
      <c r="A75" s="4">
        <v>45964.707768437504</v>
      </c>
      <c r="B75">
        <v>193</v>
      </c>
      <c r="C75">
        <v>551.13</v>
      </c>
      <c r="D75">
        <v>13.936</v>
      </c>
      <c r="E75">
        <v>12.653</v>
      </c>
      <c r="F75">
        <v>21.41</v>
      </c>
    </row>
    <row r="76" spans="1:6" x14ac:dyDescent="0.2">
      <c r="A76" s="4">
        <v>45964.707951539298</v>
      </c>
      <c r="B76">
        <v>13</v>
      </c>
      <c r="C76">
        <v>566.95000000000005</v>
      </c>
      <c r="D76">
        <v>13.831</v>
      </c>
      <c r="E76">
        <v>12.571999999999999</v>
      </c>
      <c r="F76">
        <v>21.4</v>
      </c>
    </row>
    <row r="77" spans="1:6" x14ac:dyDescent="0.2">
      <c r="A77" s="4">
        <v>45964.708156481502</v>
      </c>
      <c r="B77">
        <v>720</v>
      </c>
      <c r="C77">
        <v>584.66</v>
      </c>
      <c r="D77">
        <v>13.728</v>
      </c>
      <c r="E77">
        <v>12.481999999999999</v>
      </c>
      <c r="F77">
        <v>21.4</v>
      </c>
    </row>
    <row r="78" spans="1:6" x14ac:dyDescent="0.2">
      <c r="A78" s="4">
        <v>45964.708330370398</v>
      </c>
      <c r="B78">
        <v>744</v>
      </c>
      <c r="C78">
        <v>599.67999999999995</v>
      </c>
      <c r="D78">
        <v>13.62</v>
      </c>
      <c r="E78">
        <v>12.406000000000001</v>
      </c>
      <c r="F78">
        <v>21.4</v>
      </c>
    </row>
    <row r="79" spans="1:6" x14ac:dyDescent="0.2">
      <c r="A79" s="4">
        <v>45964.708513935198</v>
      </c>
      <c r="B79">
        <v>604</v>
      </c>
      <c r="C79">
        <v>615.54</v>
      </c>
      <c r="D79">
        <v>13.516999999999999</v>
      </c>
      <c r="E79">
        <v>12.327</v>
      </c>
      <c r="F79">
        <v>21.41</v>
      </c>
    </row>
    <row r="80" spans="1:6" x14ac:dyDescent="0.2">
      <c r="A80" s="4">
        <v>45964.708752152801</v>
      </c>
      <c r="B80">
        <v>186</v>
      </c>
      <c r="C80">
        <v>636.12</v>
      </c>
      <c r="D80">
        <v>13.413</v>
      </c>
      <c r="E80">
        <v>12.224</v>
      </c>
      <c r="F80">
        <v>21.4</v>
      </c>
    </row>
    <row r="81" spans="1:6" x14ac:dyDescent="0.2">
      <c r="A81" s="4">
        <v>45964.708945254599</v>
      </c>
      <c r="B81">
        <v>870</v>
      </c>
      <c r="C81">
        <v>652.80999999999995</v>
      </c>
      <c r="D81">
        <v>13.305999999999999</v>
      </c>
      <c r="E81">
        <v>12.141</v>
      </c>
      <c r="F81">
        <v>21.4</v>
      </c>
    </row>
    <row r="82" spans="1:6" x14ac:dyDescent="0.2">
      <c r="A82" s="4">
        <v>45964.7091606713</v>
      </c>
      <c r="B82">
        <v>482</v>
      </c>
      <c r="C82">
        <v>671.42</v>
      </c>
      <c r="D82">
        <v>13.192</v>
      </c>
      <c r="E82">
        <v>12.05</v>
      </c>
      <c r="F82">
        <v>21.4</v>
      </c>
    </row>
    <row r="83" spans="1:6" x14ac:dyDescent="0.2">
      <c r="A83" s="4">
        <v>45964.709355706</v>
      </c>
      <c r="B83">
        <v>333</v>
      </c>
      <c r="C83">
        <v>688.27</v>
      </c>
      <c r="D83">
        <v>13.087</v>
      </c>
      <c r="E83">
        <v>11.968</v>
      </c>
      <c r="F83">
        <v>21.4</v>
      </c>
    </row>
    <row r="84" spans="1:6" x14ac:dyDescent="0.2">
      <c r="A84" s="4">
        <v>45964.709550185202</v>
      </c>
      <c r="B84">
        <v>136</v>
      </c>
      <c r="C84">
        <v>705.07</v>
      </c>
      <c r="D84">
        <v>12.986000000000001</v>
      </c>
      <c r="E84">
        <v>11.885999999999999</v>
      </c>
      <c r="F84">
        <v>21.39</v>
      </c>
    </row>
    <row r="85" spans="1:6" x14ac:dyDescent="0.2">
      <c r="A85" s="4">
        <v>45964.709778229197</v>
      </c>
      <c r="B85">
        <v>839</v>
      </c>
      <c r="C85">
        <v>724.78</v>
      </c>
      <c r="D85">
        <v>12.878</v>
      </c>
      <c r="E85">
        <v>11.791</v>
      </c>
      <c r="F85">
        <v>21.39</v>
      </c>
    </row>
    <row r="86" spans="1:6" x14ac:dyDescent="0.2">
      <c r="A86" s="4">
        <v>45964.709962627298</v>
      </c>
      <c r="B86">
        <v>771</v>
      </c>
      <c r="C86">
        <v>740.71</v>
      </c>
      <c r="D86">
        <v>12.778</v>
      </c>
      <c r="E86">
        <v>11.715</v>
      </c>
      <c r="F86">
        <v>21.39</v>
      </c>
    </row>
    <row r="87" spans="1:6" x14ac:dyDescent="0.2">
      <c r="A87" s="4">
        <v>45964.7101668287</v>
      </c>
      <c r="B87">
        <v>414</v>
      </c>
      <c r="C87">
        <v>758.35</v>
      </c>
      <c r="D87">
        <v>12.673999999999999</v>
      </c>
      <c r="E87">
        <v>11.631</v>
      </c>
      <c r="F87">
        <v>21.4</v>
      </c>
    </row>
    <row r="88" spans="1:6" x14ac:dyDescent="0.2">
      <c r="A88" s="4">
        <v>45964.710382349498</v>
      </c>
      <c r="B88">
        <v>35</v>
      </c>
      <c r="C88">
        <v>776.97</v>
      </c>
      <c r="D88">
        <v>12.569000000000001</v>
      </c>
      <c r="E88">
        <v>11.542999999999999</v>
      </c>
      <c r="F88">
        <v>21.4</v>
      </c>
    </row>
    <row r="89" spans="1:6" x14ac:dyDescent="0.2">
      <c r="A89" s="4">
        <v>45964.710598229198</v>
      </c>
      <c r="B89">
        <v>687</v>
      </c>
      <c r="C89">
        <v>795.62</v>
      </c>
      <c r="D89">
        <v>12.465</v>
      </c>
      <c r="E89">
        <v>11.455</v>
      </c>
      <c r="F89">
        <v>21.4</v>
      </c>
    </row>
    <row r="90" spans="1:6" x14ac:dyDescent="0.2">
      <c r="A90" s="4">
        <v>45964.710792986101</v>
      </c>
      <c r="B90">
        <v>514</v>
      </c>
      <c r="C90">
        <v>812.45</v>
      </c>
      <c r="D90">
        <v>12.364000000000001</v>
      </c>
      <c r="E90">
        <v>11.375999999999999</v>
      </c>
      <c r="F90">
        <v>21.4</v>
      </c>
    </row>
    <row r="91" spans="1:6" x14ac:dyDescent="0.2">
      <c r="A91" s="4">
        <v>45964.711020069401</v>
      </c>
      <c r="B91">
        <v>134</v>
      </c>
      <c r="C91">
        <v>832.07</v>
      </c>
      <c r="D91">
        <v>12.257999999999999</v>
      </c>
      <c r="E91">
        <v>11.286</v>
      </c>
      <c r="F91">
        <v>21.4</v>
      </c>
    </row>
    <row r="92" spans="1:6" x14ac:dyDescent="0.2">
      <c r="A92" s="4">
        <v>45964.711237129603</v>
      </c>
      <c r="B92">
        <v>888</v>
      </c>
      <c r="C92">
        <v>850.82</v>
      </c>
      <c r="D92">
        <v>12.154</v>
      </c>
      <c r="E92">
        <v>11.199</v>
      </c>
      <c r="F92">
        <v>21.4</v>
      </c>
    </row>
    <row r="93" spans="1:6" x14ac:dyDescent="0.2">
      <c r="A93" s="4">
        <v>45964.711441423598</v>
      </c>
      <c r="B93">
        <v>539</v>
      </c>
      <c r="C93">
        <v>868.48</v>
      </c>
      <c r="D93">
        <v>12.052</v>
      </c>
      <c r="E93">
        <v>11.119</v>
      </c>
      <c r="F93">
        <v>21.4</v>
      </c>
    </row>
    <row r="94" spans="1:6" x14ac:dyDescent="0.2">
      <c r="A94" s="4">
        <v>45964.711657997701</v>
      </c>
      <c r="B94">
        <v>251</v>
      </c>
      <c r="C94">
        <v>887.19</v>
      </c>
      <c r="D94">
        <v>11.952</v>
      </c>
      <c r="E94">
        <v>11.034000000000001</v>
      </c>
      <c r="F94">
        <v>21.39</v>
      </c>
    </row>
    <row r="95" spans="1:6" x14ac:dyDescent="0.2">
      <c r="A95" s="4">
        <v>45964.7118631134</v>
      </c>
      <c r="B95">
        <v>973</v>
      </c>
      <c r="C95">
        <v>904.91</v>
      </c>
      <c r="D95">
        <v>11.847</v>
      </c>
      <c r="E95">
        <v>10.954000000000001</v>
      </c>
      <c r="F95">
        <v>21.39</v>
      </c>
    </row>
    <row r="96" spans="1:6" x14ac:dyDescent="0.2">
      <c r="A96" s="4">
        <v>45964.712079131903</v>
      </c>
      <c r="B96">
        <v>637</v>
      </c>
      <c r="C96">
        <v>923.57</v>
      </c>
      <c r="D96">
        <v>11.747</v>
      </c>
      <c r="E96">
        <v>10.87</v>
      </c>
      <c r="F96">
        <v>21.4</v>
      </c>
    </row>
    <row r="97" spans="1:6" x14ac:dyDescent="0.2">
      <c r="A97" s="4">
        <v>45964.712295243102</v>
      </c>
      <c r="B97">
        <v>309</v>
      </c>
      <c r="C97">
        <v>942.25</v>
      </c>
      <c r="D97">
        <v>11.644</v>
      </c>
      <c r="E97">
        <v>10.787000000000001</v>
      </c>
      <c r="F97">
        <v>21.4</v>
      </c>
    </row>
    <row r="98" spans="1:6" x14ac:dyDescent="0.2">
      <c r="A98" s="4">
        <v>45964.7125107639</v>
      </c>
      <c r="B98">
        <v>930</v>
      </c>
      <c r="C98">
        <v>960.87</v>
      </c>
      <c r="D98">
        <v>11.523999999999999</v>
      </c>
      <c r="E98">
        <v>10.705</v>
      </c>
      <c r="F98">
        <v>21.4</v>
      </c>
    </row>
    <row r="99" spans="1:6" x14ac:dyDescent="0.2">
      <c r="A99" s="4">
        <v>45964.7127923843</v>
      </c>
      <c r="B99">
        <v>262</v>
      </c>
      <c r="C99">
        <v>985.2</v>
      </c>
      <c r="D99">
        <v>11.422000000000001</v>
      </c>
      <c r="E99">
        <v>10.599</v>
      </c>
      <c r="F99">
        <v>21.4</v>
      </c>
    </row>
    <row r="100" spans="1:6" x14ac:dyDescent="0.2">
      <c r="A100" s="4">
        <v>45964.712997118098</v>
      </c>
      <c r="B100">
        <v>951</v>
      </c>
      <c r="C100">
        <v>1002.89</v>
      </c>
      <c r="D100">
        <v>11.321</v>
      </c>
      <c r="E100">
        <v>10.522</v>
      </c>
      <c r="F100">
        <v>21.4</v>
      </c>
    </row>
    <row r="101" spans="1:6" x14ac:dyDescent="0.2">
      <c r="A101" s="4">
        <v>45964.713214398202</v>
      </c>
      <c r="B101">
        <v>724</v>
      </c>
      <c r="C101">
        <v>1021.66</v>
      </c>
      <c r="D101">
        <v>11.22</v>
      </c>
      <c r="E101">
        <v>10.441000000000001</v>
      </c>
      <c r="F101">
        <v>21.39</v>
      </c>
    </row>
    <row r="102" spans="1:6" x14ac:dyDescent="0.2">
      <c r="A102" s="4">
        <v>45964.713440104199</v>
      </c>
      <c r="B102">
        <v>225</v>
      </c>
      <c r="C102">
        <v>1041.1600000000001</v>
      </c>
      <c r="D102">
        <v>11.117000000000001</v>
      </c>
      <c r="E102">
        <v>10.356999999999999</v>
      </c>
      <c r="F102">
        <v>21.39</v>
      </c>
    </row>
    <row r="103" spans="1:6" x14ac:dyDescent="0.2">
      <c r="A103" s="4">
        <v>45964.713677488398</v>
      </c>
      <c r="B103">
        <v>735</v>
      </c>
      <c r="C103">
        <v>1061.67</v>
      </c>
      <c r="D103">
        <v>11.013</v>
      </c>
      <c r="E103">
        <v>10.27</v>
      </c>
      <c r="F103">
        <v>21.4</v>
      </c>
    </row>
    <row r="104" spans="1:6" x14ac:dyDescent="0.2">
      <c r="A104" s="4">
        <v>45964.713903113399</v>
      </c>
      <c r="B104">
        <v>229</v>
      </c>
      <c r="C104">
        <v>1081.17</v>
      </c>
      <c r="D104">
        <v>10.901999999999999</v>
      </c>
      <c r="E104">
        <v>10.188000000000001</v>
      </c>
      <c r="F104">
        <v>21.4</v>
      </c>
    </row>
    <row r="105" spans="1:6" x14ac:dyDescent="0.2">
      <c r="A105" s="4">
        <v>45964.714141944401</v>
      </c>
      <c r="B105">
        <v>864</v>
      </c>
      <c r="C105">
        <v>1101.8</v>
      </c>
      <c r="D105">
        <v>10.8</v>
      </c>
      <c r="E105">
        <v>10.102</v>
      </c>
      <c r="F105">
        <v>21.4</v>
      </c>
    </row>
    <row r="106" spans="1:6" x14ac:dyDescent="0.2">
      <c r="A106" s="4">
        <v>45964.714370254602</v>
      </c>
      <c r="B106">
        <v>590</v>
      </c>
      <c r="C106">
        <v>1121.53</v>
      </c>
      <c r="D106">
        <v>10.696</v>
      </c>
      <c r="E106">
        <v>10.02</v>
      </c>
      <c r="F106">
        <v>21.41</v>
      </c>
    </row>
    <row r="107" spans="1:6" x14ac:dyDescent="0.2">
      <c r="A107" s="4">
        <v>45964.714618044003</v>
      </c>
      <c r="B107">
        <v>999</v>
      </c>
      <c r="C107">
        <v>1142.94</v>
      </c>
      <c r="D107">
        <v>10.595000000000001</v>
      </c>
      <c r="E107">
        <v>9.9309999999999992</v>
      </c>
      <c r="F107">
        <v>21.41</v>
      </c>
    </row>
    <row r="108" spans="1:6" x14ac:dyDescent="0.2">
      <c r="A108" s="4">
        <v>45964.714845555602</v>
      </c>
      <c r="B108">
        <v>656</v>
      </c>
      <c r="C108">
        <v>1162.5899999999999</v>
      </c>
      <c r="D108">
        <v>10.493</v>
      </c>
      <c r="E108">
        <v>9.8510000000000009</v>
      </c>
      <c r="F108">
        <v>21.42</v>
      </c>
    </row>
    <row r="109" spans="1:6" x14ac:dyDescent="0.2">
      <c r="A109" s="4">
        <v>45964.715106481497</v>
      </c>
      <c r="B109">
        <v>200</v>
      </c>
      <c r="C109">
        <v>1185.1400000000001</v>
      </c>
      <c r="D109">
        <v>10.391</v>
      </c>
      <c r="E109">
        <v>9.7590000000000003</v>
      </c>
      <c r="F109">
        <v>21.44</v>
      </c>
    </row>
    <row r="110" spans="1:6" x14ac:dyDescent="0.2">
      <c r="A110" s="4">
        <v>45964.715324062498</v>
      </c>
      <c r="B110">
        <v>999</v>
      </c>
      <c r="C110">
        <v>1203.94</v>
      </c>
      <c r="D110">
        <v>10.289</v>
      </c>
      <c r="E110">
        <v>9.6839999999999993</v>
      </c>
      <c r="F110">
        <v>21.44</v>
      </c>
    </row>
    <row r="111" spans="1:6" x14ac:dyDescent="0.2">
      <c r="A111" s="4">
        <v>45964.7155752662</v>
      </c>
      <c r="B111">
        <v>703</v>
      </c>
      <c r="C111">
        <v>1225.6400000000001</v>
      </c>
      <c r="D111">
        <v>10.186</v>
      </c>
      <c r="E111">
        <v>9.5969999999999995</v>
      </c>
      <c r="F111">
        <v>21.45</v>
      </c>
    </row>
    <row r="112" spans="1:6" x14ac:dyDescent="0.2">
      <c r="A112" s="4">
        <v>45964.715823854203</v>
      </c>
      <c r="B112">
        <v>181</v>
      </c>
      <c r="C112">
        <v>1247.1199999999999</v>
      </c>
      <c r="D112">
        <v>10.085000000000001</v>
      </c>
      <c r="E112">
        <v>9.5120000000000005</v>
      </c>
      <c r="F112">
        <v>21.46</v>
      </c>
    </row>
    <row r="113" spans="1:6" x14ac:dyDescent="0.2">
      <c r="A113" s="4">
        <v>45964.716074224503</v>
      </c>
      <c r="B113">
        <v>813</v>
      </c>
      <c r="C113">
        <v>1268.75</v>
      </c>
      <c r="D113">
        <v>9.9819999999999993</v>
      </c>
      <c r="E113">
        <v>9.4269999999999996</v>
      </c>
      <c r="F113">
        <v>21.46</v>
      </c>
    </row>
    <row r="114" spans="1:6" x14ac:dyDescent="0.2">
      <c r="A114" s="4">
        <v>45964.716301793997</v>
      </c>
      <c r="B114">
        <v>475</v>
      </c>
      <c r="C114">
        <v>1288.4100000000001</v>
      </c>
      <c r="D114">
        <v>9.8699999999999992</v>
      </c>
      <c r="E114">
        <v>9.35</v>
      </c>
      <c r="F114">
        <v>21.47</v>
      </c>
    </row>
    <row r="115" spans="1:6" x14ac:dyDescent="0.2">
      <c r="A115" s="4">
        <v>45964.716604016197</v>
      </c>
      <c r="B115">
        <v>587</v>
      </c>
      <c r="C115">
        <v>1314.52</v>
      </c>
      <c r="D115">
        <v>9.7690000000000001</v>
      </c>
      <c r="E115">
        <v>9.2490000000000006</v>
      </c>
      <c r="F115">
        <v>21.48</v>
      </c>
    </row>
    <row r="116" spans="1:6" x14ac:dyDescent="0.2">
      <c r="A116" s="4">
        <v>45964.7168651389</v>
      </c>
      <c r="B116">
        <v>148</v>
      </c>
      <c r="C116">
        <v>1337.08</v>
      </c>
      <c r="D116">
        <v>9.6620000000000008</v>
      </c>
      <c r="E116">
        <v>9.1620000000000008</v>
      </c>
      <c r="F116">
        <v>21.48</v>
      </c>
    </row>
    <row r="117" spans="1:6" x14ac:dyDescent="0.2">
      <c r="A117" s="4">
        <v>45964.717115358799</v>
      </c>
      <c r="B117">
        <v>767</v>
      </c>
      <c r="C117">
        <v>1358.7</v>
      </c>
      <c r="D117">
        <v>9.56</v>
      </c>
      <c r="E117">
        <v>9.08</v>
      </c>
      <c r="F117">
        <v>21.51</v>
      </c>
    </row>
    <row r="118" spans="1:6" x14ac:dyDescent="0.2">
      <c r="A118" s="4">
        <v>45964.717373472202</v>
      </c>
      <c r="B118">
        <v>68</v>
      </c>
      <c r="C118">
        <v>1381</v>
      </c>
      <c r="D118">
        <v>9.4589999999999996</v>
      </c>
      <c r="E118">
        <v>8.9960000000000004</v>
      </c>
      <c r="F118">
        <v>21.51</v>
      </c>
    </row>
    <row r="119" spans="1:6" x14ac:dyDescent="0.2">
      <c r="A119" s="4">
        <v>45964.717632928201</v>
      </c>
      <c r="B119">
        <v>485</v>
      </c>
      <c r="C119">
        <v>1403.42</v>
      </c>
      <c r="D119">
        <v>9.3559999999999999</v>
      </c>
      <c r="E119">
        <v>8.9120000000000008</v>
      </c>
      <c r="F119">
        <v>21.51</v>
      </c>
    </row>
    <row r="120" spans="1:6" x14ac:dyDescent="0.2">
      <c r="A120" s="4">
        <v>45964.717884872698</v>
      </c>
      <c r="B120">
        <v>253</v>
      </c>
      <c r="C120">
        <v>1425.19</v>
      </c>
      <c r="D120">
        <v>9.2520000000000007</v>
      </c>
      <c r="E120">
        <v>8.8320000000000007</v>
      </c>
      <c r="F120">
        <v>21.52</v>
      </c>
    </row>
    <row r="121" spans="1:6" x14ac:dyDescent="0.2">
      <c r="A121" s="4">
        <v>45964.718122627302</v>
      </c>
      <c r="B121">
        <v>795</v>
      </c>
      <c r="C121">
        <v>1445.73</v>
      </c>
      <c r="D121">
        <v>9.1470000000000002</v>
      </c>
      <c r="E121">
        <v>8.7560000000000002</v>
      </c>
      <c r="F121">
        <v>21.52</v>
      </c>
    </row>
    <row r="122" spans="1:6" x14ac:dyDescent="0.2">
      <c r="A122" s="4">
        <v>45964.7184580787</v>
      </c>
      <c r="B122">
        <v>778</v>
      </c>
      <c r="C122">
        <v>1474.72</v>
      </c>
      <c r="D122">
        <v>9.0410000000000004</v>
      </c>
      <c r="E122">
        <v>8.65</v>
      </c>
      <c r="F122">
        <v>21.54</v>
      </c>
    </row>
    <row r="123" spans="1:6" x14ac:dyDescent="0.2">
      <c r="A123" s="4">
        <v>45964.718729398097</v>
      </c>
      <c r="B123">
        <v>220</v>
      </c>
      <c r="C123">
        <v>1498.16</v>
      </c>
      <c r="D123">
        <v>8.94</v>
      </c>
      <c r="E123">
        <v>8.5660000000000007</v>
      </c>
      <c r="F123">
        <v>21.54</v>
      </c>
    </row>
    <row r="124" spans="1:6" x14ac:dyDescent="0.2">
      <c r="A124" s="4">
        <v>45964.7190126852</v>
      </c>
      <c r="B124">
        <v>696</v>
      </c>
      <c r="C124">
        <v>1522.63</v>
      </c>
      <c r="D124">
        <v>8.8320000000000007</v>
      </c>
      <c r="E124">
        <v>8.4779999999999998</v>
      </c>
      <c r="F124">
        <v>21.56</v>
      </c>
    </row>
    <row r="125" spans="1:6" x14ac:dyDescent="0.2">
      <c r="A125" s="4">
        <v>45964.719294768503</v>
      </c>
      <c r="B125">
        <v>68</v>
      </c>
      <c r="C125">
        <v>1547</v>
      </c>
      <c r="D125">
        <v>8.7289999999999992</v>
      </c>
      <c r="E125">
        <v>8.3919999999999995</v>
      </c>
      <c r="F125">
        <v>21.56</v>
      </c>
    </row>
    <row r="126" spans="1:6" x14ac:dyDescent="0.2">
      <c r="A126" s="4">
        <v>45964.719565613399</v>
      </c>
      <c r="B126">
        <v>469</v>
      </c>
      <c r="C126">
        <v>1570.41</v>
      </c>
      <c r="D126">
        <v>8.6289999999999996</v>
      </c>
      <c r="E126">
        <v>8.31</v>
      </c>
      <c r="F126">
        <v>21.56</v>
      </c>
    </row>
    <row r="127" spans="1:6" x14ac:dyDescent="0.2">
      <c r="A127" s="4">
        <v>45964.719847106498</v>
      </c>
      <c r="B127">
        <v>790</v>
      </c>
      <c r="C127">
        <v>1594.73</v>
      </c>
      <c r="D127">
        <v>8.5250000000000004</v>
      </c>
      <c r="E127">
        <v>8.2249999999999996</v>
      </c>
      <c r="F127">
        <v>21.55</v>
      </c>
    </row>
    <row r="128" spans="1:6" x14ac:dyDescent="0.2">
      <c r="A128" s="4">
        <v>45964.720107893503</v>
      </c>
      <c r="B128">
        <v>322</v>
      </c>
      <c r="C128">
        <v>1617.26</v>
      </c>
      <c r="D128">
        <v>8.4209999999999994</v>
      </c>
      <c r="E128">
        <v>8.1470000000000002</v>
      </c>
      <c r="F128">
        <v>21.56</v>
      </c>
    </row>
    <row r="129" spans="1:6" x14ac:dyDescent="0.2">
      <c r="A129" s="4">
        <v>45964.720391365699</v>
      </c>
      <c r="B129">
        <v>814</v>
      </c>
      <c r="C129">
        <v>1641.75</v>
      </c>
      <c r="D129">
        <v>8.32</v>
      </c>
      <c r="E129">
        <v>8.0630000000000006</v>
      </c>
      <c r="F129">
        <v>21.56</v>
      </c>
    </row>
    <row r="130" spans="1:6" x14ac:dyDescent="0.2">
      <c r="A130" s="4">
        <v>45964.7206632292</v>
      </c>
      <c r="B130">
        <v>303</v>
      </c>
      <c r="C130">
        <v>1665.24</v>
      </c>
      <c r="D130">
        <v>8.2189999999999994</v>
      </c>
      <c r="E130">
        <v>7.984</v>
      </c>
      <c r="F130">
        <v>21.55</v>
      </c>
    </row>
    <row r="131" spans="1:6" x14ac:dyDescent="0.2">
      <c r="A131" s="4">
        <v>45964.720955370401</v>
      </c>
      <c r="B131">
        <v>544</v>
      </c>
      <c r="C131">
        <v>1690.48</v>
      </c>
      <c r="D131">
        <v>8.1150000000000002</v>
      </c>
      <c r="E131">
        <v>7.899</v>
      </c>
      <c r="F131">
        <v>21.56</v>
      </c>
    </row>
    <row r="132" spans="1:6" x14ac:dyDescent="0.2">
      <c r="A132" s="4">
        <v>45964.721247661997</v>
      </c>
      <c r="B132">
        <v>798</v>
      </c>
      <c r="C132">
        <v>1715.73</v>
      </c>
      <c r="D132">
        <v>8.0069999999999997</v>
      </c>
      <c r="E132">
        <v>7.8150000000000004</v>
      </c>
      <c r="F132">
        <v>21.56</v>
      </c>
    </row>
    <row r="133" spans="1:6" x14ac:dyDescent="0.2">
      <c r="A133" s="4">
        <v>45964.721518645798</v>
      </c>
      <c r="B133">
        <v>211</v>
      </c>
      <c r="C133">
        <v>1739.15</v>
      </c>
      <c r="D133">
        <v>7.9029999999999996</v>
      </c>
      <c r="E133">
        <v>7.7380000000000004</v>
      </c>
      <c r="F133">
        <v>21.56</v>
      </c>
    </row>
    <row r="134" spans="1:6" x14ac:dyDescent="0.2">
      <c r="A134" s="4">
        <v>45964.721856909702</v>
      </c>
      <c r="B134">
        <v>437</v>
      </c>
      <c r="C134">
        <v>1768.37</v>
      </c>
      <c r="D134">
        <v>7.7939999999999996</v>
      </c>
      <c r="E134">
        <v>7.6420000000000003</v>
      </c>
      <c r="F134">
        <v>21.59</v>
      </c>
    </row>
    <row r="135" spans="1:6" x14ac:dyDescent="0.2">
      <c r="A135" s="4">
        <v>45964.722129166701</v>
      </c>
      <c r="B135">
        <v>960</v>
      </c>
      <c r="C135">
        <v>1791.9</v>
      </c>
      <c r="D135">
        <v>7.694</v>
      </c>
      <c r="E135">
        <v>7.5659999999999998</v>
      </c>
      <c r="F135">
        <v>21.57</v>
      </c>
    </row>
    <row r="136" spans="1:6" x14ac:dyDescent="0.2">
      <c r="A136" s="4">
        <v>45964.722454421302</v>
      </c>
      <c r="B136">
        <v>62</v>
      </c>
      <c r="C136">
        <v>1820</v>
      </c>
      <c r="D136">
        <v>7.5910000000000002</v>
      </c>
      <c r="E136">
        <v>7.476</v>
      </c>
      <c r="F136">
        <v>21.58</v>
      </c>
    </row>
    <row r="137" spans="1:6" x14ac:dyDescent="0.2">
      <c r="A137" s="4">
        <v>45964.722746898202</v>
      </c>
      <c r="B137">
        <v>332</v>
      </c>
      <c r="C137">
        <v>1845.27</v>
      </c>
      <c r="D137">
        <v>7.4880000000000004</v>
      </c>
      <c r="E137">
        <v>7.3959999999999999</v>
      </c>
      <c r="F137">
        <v>21.58</v>
      </c>
    </row>
    <row r="138" spans="1:6" x14ac:dyDescent="0.2">
      <c r="A138" s="4">
        <v>45964.723039548597</v>
      </c>
      <c r="B138">
        <v>617</v>
      </c>
      <c r="C138">
        <v>1870.55</v>
      </c>
      <c r="D138">
        <v>7.3869999999999996</v>
      </c>
      <c r="E138">
        <v>7.3170000000000002</v>
      </c>
      <c r="F138">
        <v>21.58</v>
      </c>
    </row>
    <row r="139" spans="1:6" x14ac:dyDescent="0.2">
      <c r="A139" s="4">
        <v>45964.723352997702</v>
      </c>
      <c r="B139">
        <v>699</v>
      </c>
      <c r="C139">
        <v>1897.64</v>
      </c>
      <c r="D139">
        <v>7.2859999999999996</v>
      </c>
      <c r="E139">
        <v>7.2329999999999997</v>
      </c>
      <c r="F139">
        <v>21.57</v>
      </c>
    </row>
    <row r="140" spans="1:6" x14ac:dyDescent="0.2">
      <c r="A140" s="4">
        <v>45964.723535775498</v>
      </c>
      <c r="B140">
        <v>491</v>
      </c>
      <c r="C140">
        <v>1913.43</v>
      </c>
      <c r="D140">
        <v>7.1840000000000002</v>
      </c>
      <c r="E140">
        <v>7.1840000000000002</v>
      </c>
      <c r="F140">
        <v>21.56</v>
      </c>
    </row>
    <row r="141" spans="1:6" x14ac:dyDescent="0.2">
      <c r="A141" s="4"/>
    </row>
    <row r="142" spans="1:6" x14ac:dyDescent="0.2">
      <c r="A142" s="4"/>
    </row>
    <row r="143" spans="1:6" x14ac:dyDescent="0.2">
      <c r="A143" s="4"/>
    </row>
    <row r="144" spans="1:6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06848B-A5D9-469D-BF9A-E1EE1F1B71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F2B1F4-2EE1-4AC8-A9FA-2E79C733C04C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1065459E-CF23-4008-B6FF-0BC038FE0A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
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M:\Departments\Develop\Software\KSAT\DEV\KS View\KS View\Resources\"/>
    </mc:Choice>
  </mc:AlternateContent>
  <xr:revisionPtr revIDLastSave="1" documentId="13_ncr:1_{2DD567CE-26BB-47FA-B793-D569F59C7A56}" xr6:coauthVersionLast="47" xr6:coauthVersionMax="47" xr10:uidLastSave="{E5BFA0BA-59AA-42CB-AE94-7FD08228AFBC}"/>
  <bookViews>
    <workbookView xWindow="4140" yWindow="1530" windowWidth="21600" windowHeight="13440" xr2:uid="{00000000-000D-0000-FFFF-FFFF00000000}"/>
  </bookViews>
  <sheets>
    <sheet name="KSAT_Measuremen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1" i="1" l="1"/>
  <c r="A52" i="1"/>
</calcChain>
</file>

<file path=xl/sharedStrings.xml><?xml version="1.0" encoding="utf-8"?>
<sst xmlns="http://schemas.openxmlformats.org/spreadsheetml/2006/main" count="107" uniqueCount="107">
  <si>
    <t>KSAT</t>
  </si>
  <si>
    <t>CulturInfo</t>
  </si>
  <si>
    <t>en-US</t>
  </si>
  <si>
    <t>Software Version</t>
  </si>
  <si>
    <t>1.6.5</t>
  </si>
  <si>
    <t>Firmware Version</t>
  </si>
  <si>
    <t>1.5</t>
  </si>
  <si>
    <t>Last setting of the zero point</t>
  </si>
  <si>
    <t>40909</t>
  </si>
  <si>
    <t>Serial Number</t>
  </si>
  <si>
    <t>0424</t>
  </si>
  <si>
    <t>File name</t>
  </si>
  <si>
    <t>KSAT_measurement_R1-BD-B3_001</t>
  </si>
  <si>
    <t>Additional comments</t>
  </si>
  <si>
    <t>MEASUREMENT</t>
  </si>
  <si>
    <t>Mode</t>
  </si>
  <si>
    <t>FallingHead</t>
  </si>
  <si>
    <t>Sample rate [s]</t>
  </si>
  <si>
    <t>Auto</t>
  </si>
  <si>
    <t>Crown type</t>
  </si>
  <si>
    <t>FilterPlateCrown</t>
  </si>
  <si>
    <t>Use Synthetic Data</t>
  </si>
  <si>
    <t>PARAMETERS</t>
  </si>
  <si>
    <t>OPERATION PARAMETERS</t>
  </si>
  <si>
    <t>H_end_abs [cm]</t>
  </si>
  <si>
    <t>Hydraulic head difference at stop of measurement</t>
  </si>
  <si>
    <t>H_end_rel [-]</t>
  </si>
  <si>
    <t>0.25</t>
  </si>
  <si>
    <t>Relative hydraulic head (with respect to initial pressure head) to stop measurement</t>
  </si>
  <si>
    <t>dH_min [cm]</t>
  </si>
  <si>
    <t>0.1</t>
  </si>
  <si>
    <t>Minimum hydraulic head difference for two successive readings</t>
  </si>
  <si>
    <t>dH_ini [cm]</t>
  </si>
  <si>
    <t>Required hydraulic head increase between two readings to trigger automatic start of measurement campaign</t>
  </si>
  <si>
    <t>GEOMETRY PARAMETERS</t>
  </si>
  <si>
    <t>A_bur1 [cm²]</t>
  </si>
  <si>
    <t>4.524</t>
  </si>
  <si>
    <t>Standard burette cross-sectional area</t>
  </si>
  <si>
    <t>A_cap_in [cm²]</t>
  </si>
  <si>
    <t>0.075</t>
  </si>
  <si>
    <t>Burette extension internal cross-sectional area</t>
  </si>
  <si>
    <t>A_sample  [cm²]</t>
  </si>
  <si>
    <t>Sample cross-sectional area</t>
  </si>
  <si>
    <t>L_bur [cm]</t>
  </si>
  <si>
    <t>Standard burette length</t>
  </si>
  <si>
    <t>L_sample [cm]</t>
  </si>
  <si>
    <t>Height of soil sample</t>
  </si>
  <si>
    <t>L_plate_Bottom [cm]</t>
  </si>
  <si>
    <t>0.8</t>
  </si>
  <si>
    <t>Bottom porous plate height</t>
  </si>
  <si>
    <t>L_plate_Top [cm]</t>
  </si>
  <si>
    <t>0.3</t>
  </si>
  <si>
    <t>Upper porous plate height</t>
  </si>
  <si>
    <t>EVALUATION PARAMETERS</t>
  </si>
  <si>
    <t>T_ref [°C]</t>
  </si>
  <si>
    <t>Reference temperature for K calculations</t>
  </si>
  <si>
    <t>K_plate [cm/d]</t>
  </si>
  <si>
    <t>Porous plate conductivity</t>
  </si>
  <si>
    <t>Use Auto-Offset</t>
  </si>
  <si>
    <t>Use auto offset correction for measured hydraulic head</t>
  </si>
  <si>
    <t>Max Auto-Offset [cm]</t>
  </si>
  <si>
    <t>Max. value for auto offset correction</t>
  </si>
  <si>
    <t>Trigger Auto-Offset [cm]</t>
  </si>
  <si>
    <t>Hydraulic head change after auto offset correction becomes active</t>
  </si>
  <si>
    <t>Start of measurement</t>
  </si>
  <si>
    <t>11/18/2025 4:13:23 PM</t>
  </si>
  <si>
    <t>Test duration</t>
  </si>
  <si>
    <t>00:13:21</t>
  </si>
  <si>
    <t>RESULT</t>
  </si>
  <si>
    <t>Use auto offset adjustment</t>
  </si>
  <si>
    <t>Max offset adjustment [cm]</t>
  </si>
  <si>
    <t>1</t>
  </si>
  <si>
    <t>Fitting Parameter a [cm]</t>
  </si>
  <si>
    <t>16.55</t>
  </si>
  <si>
    <t>coefficient a of the fitted exponential pressure head decrease function y = a * exp(-b*t)+c, where y is the pressure head in cm and t is time in s</t>
  </si>
  <si>
    <t>Fitting Parameter b [s-1]</t>
  </si>
  <si>
    <t>-1.55E-03</t>
  </si>
  <si>
    <t>coefficient b of the fitted exponential pressure head decrease function y = a * exp(-b*t)+c, where y is the pressure head in cm and t is time in s</t>
  </si>
  <si>
    <t>Fitting Parameter c [cm]</t>
  </si>
  <si>
    <t>0.9</t>
  </si>
  <si>
    <t>coefficient c of the fitted exponential pressure head decrease function y = a * exp(-b*t)+c, where y is the pressure head in cm and t is time in s</t>
  </si>
  <si>
    <t>Fitting Parameter r2 [-]</t>
  </si>
  <si>
    <t>0.9999</t>
  </si>
  <si>
    <t>coefficient of determination of the exponential pressure head decrease function that is fitted to the observed data</t>
  </si>
  <si>
    <t>Ks Total [cm/d]</t>
  </si>
  <si>
    <t>191.627</t>
  </si>
  <si>
    <t>Saturated hydraulic conductivity [cm/d] of the entire system</t>
  </si>
  <si>
    <t>Ks Total [m/s]</t>
  </si>
  <si>
    <t>2.23E-05</t>
  </si>
  <si>
    <t>Saturated hydraulic conductivity [m/s] of the entire system</t>
  </si>
  <si>
    <t>Ks Soil [cm/d]</t>
  </si>
  <si>
    <t>158.012</t>
  </si>
  <si>
    <t>Saturated hydraulic conductivity [cm/d] of the soil sample itself</t>
  </si>
  <si>
    <t>Ks Soil [m/s]</t>
  </si>
  <si>
    <t>1.84E-05</t>
  </si>
  <si>
    <t>Saturated hydraulic conductivity [m/s] of the soil sample itself</t>
  </si>
  <si>
    <t>153.112</t>
  </si>
  <si>
    <t>Saturated hydraulic conductivity [cm/d] of the soil sample  normalized to 10 °C mean field temperature</t>
  </si>
  <si>
    <t>1.78E-05</t>
  </si>
  <si>
    <t>Saturated hydraulic conductivity [m/s] of the soil sample  normalized to 10 °C mean field temperature</t>
  </si>
  <si>
    <t>DATA</t>
  </si>
  <si>
    <t>Date/Time</t>
  </si>
  <si>
    <t>Runtime [ms]</t>
  </si>
  <si>
    <t>Runtime [s]</t>
  </si>
  <si>
    <t>Pressure Head [cm]</t>
  </si>
  <si>
    <t>Fitting [cm]</t>
  </si>
  <si>
    <t>Temperature [°C]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</si>
</sst>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dd/mm/yy;@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" fillId="0" borderId="0" applyBorder="0"/>
  </cellStyleXfs>
  <cellXfs count="8">
    <xf numFmtId="0" fontId="0" fillId="0" borderId="0" xfId="0"/>
    <xf numFmtId="0" fontId="0" fillId="0" borderId="0" xfId="0" applyNumberFormat="1" applyFill="1" applyAlignment="1" applyProtection="1"/>
    <xf numFmtId="49" fontId="0" fillId="0" borderId="0" xfId="0" applyNumberFormat="1" applyFill="1" applyAlignment="1" applyProtection="1"/>
    <xf numFmtId="165" fontId="0" fillId="0" borderId="0" xfId="0" applyNumberFormat="1" applyFill="1" applyAlignment="1" applyProtection="1"/>
    <xf numFmtId="164" fontId="0" fillId="0" borderId="0" xfId="0" applyNumberFormat="1" applyFill="1" applyAlignment="1" applyProtection="1"/>
    <xf numFmtId="22" fontId="0" fillId="0" borderId="0" xfId="0" applyNumberFormat="1" applyFill="1" applyAlignment="1" applyProtection="1"/>
    <xf numFmtId="11" fontId="0" fillId="0" borderId="0" xfId="0" applyNumberFormat="1" applyFill="1" applyAlignment="1" applyProtection="1"/>
    <xf numFmtId="21" fontId="0" fillId="0" borderId="0" xfId="0" applyNumberFormat="1" applyFill="1" applyAlignment="1" applyProtection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A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4"/>
  <sheetViews>
    <sheetView tabSelected="1" workbookViewId="0">
      <selection activeCell="E7" sqref="E7"/>
    </sheetView>
  </sheetViews>
  <sheetFormatPr defaultColWidth="11.42578125" defaultRowHeight="15"/>
  <cols>
    <col min="1" max="1" width="39.7109375" style="1" customWidth="1"/>
    <col min="2" max="2" width="27" style="1" bestFit="1" customWidth="1"/>
    <col min="3" max="3" width="31.85546875" style="1" bestFit="1" customWidth="1"/>
    <col min="4" max="4" width="18.28515625" style="1" bestFit="1" customWidth="1"/>
    <col min="5" max="5" width="11.140625" style="1" bestFit="1" customWidth="1"/>
    <col min="6" max="6" width="16.42578125" style="1" bestFit="1" customWidth="1"/>
  </cols>
  <sheetData>
    <row r="1" spans="1:2">
      <c r="A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2" t="s">
        <v>4</v>
      </c>
    </row>
    <row r="4" spans="1:2">
      <c r="A4" s="1" t="s">
        <v>5</v>
      </c>
      <c r="B4" s="2" t="s">
        <v>6</v>
      </c>
    </row>
    <row r="5" spans="1:2">
      <c r="A5" s="1" t="s">
        <v>7</v>
      </c>
      <c r="B5" s="3" t="s">
        <v>8</v>
      </c>
    </row>
    <row r="6" spans="1:2">
      <c r="A6" s="1" t="s">
        <v>9</v>
      </c>
      <c r="B6" s="1" t="s">
        <v>10</v>
      </c>
    </row>
    <row r="8" spans="1:2">
      <c r="A8" s="1" t="s">
        <v>11</v>
      </c>
      <c r="B8" s="1" t="s">
        <v>12</v>
      </c>
    </row>
    <row r="9" spans="1:2">
      <c r="A9" s="1" t="s">
        <v>13</v>
      </c>
    </row>
    <row r="11" spans="1:2">
      <c r="A11" s="1" t="s">
        <v>14</v>
      </c>
    </row>
    <row r="12" spans="1:2">
      <c r="A12" s="1" t="s">
        <v>15</v>
      </c>
      <c r="B12" s="1" t="s">
        <v>16</v>
      </c>
    </row>
    <row r="13" spans="1:2">
      <c r="A13" s="1" t="s">
        <v>17</v>
      </c>
      <c r="B13" s="1" t="s">
        <v>18</v>
      </c>
    </row>
    <row r="14" spans="1:2">
      <c r="A14" s="1" t="s">
        <v>19</v>
      </c>
      <c r="B14" s="1" t="s">
        <v>20</v>
      </c>
    </row>
    <row r="15" spans="1:2">
      <c r="A15" s="1" t="s">
        <v>21</v>
      </c>
      <c r="B15" s="1" t="b">
        <v>0</v>
      </c>
    </row>
    <row r="17" spans="1:3">
      <c r="A17" s="1" t="s">
        <v>22</v>
      </c>
    </row>
    <row r="18" spans="1:3">
      <c r="A18" s="1" t="s">
        <v>23</v>
      </c>
    </row>
    <row r="19" spans="1:3">
      <c r="A19" s="1" t="s">
        <v>24</v>
      </c>
      <c r="B19" s="1">
        <v>0.5</v>
      </c>
      <c r="C19" s="1" t="s">
        <v>25</v>
      </c>
    </row>
    <row r="20" spans="1:3">
      <c r="A20" s="1" t="s">
        <v>26</v>
      </c>
      <c r="B20" s="1" t="s">
        <v>27</v>
      </c>
      <c r="C20" s="1" t="s">
        <v>28</v>
      </c>
    </row>
    <row r="21" spans="1:3">
      <c r="A21" s="1" t="s">
        <v>29</v>
      </c>
      <c r="B21" s="1" t="s">
        <v>30</v>
      </c>
      <c r="C21" s="1" t="s">
        <v>31</v>
      </c>
    </row>
    <row r="22" spans="1:3">
      <c r="A22" s="1" t="s">
        <v>32</v>
      </c>
      <c r="B22" s="1">
        <v>1</v>
      </c>
      <c r="C22" s="1" t="s">
        <v>33</v>
      </c>
    </row>
    <row r="23" spans="1:3">
      <c r="A23" s="1" t="s">
        <v>34</v>
      </c>
    </row>
    <row r="24" spans="1:3">
      <c r="A24" s="1" t="s">
        <v>35</v>
      </c>
      <c r="B24" s="1" t="s">
        <v>36</v>
      </c>
      <c r="C24" s="1" t="s">
        <v>37</v>
      </c>
    </row>
    <row r="25" spans="1:3">
      <c r="A25" s="1" t="s">
        <v>38</v>
      </c>
      <c r="B25" s="1" t="s">
        <v>39</v>
      </c>
      <c r="C25" s="1" t="s">
        <v>40</v>
      </c>
    </row>
    <row r="26" spans="1:3">
      <c r="A26" s="1" t="s">
        <v>41</v>
      </c>
      <c r="B26" s="1">
        <v>19.600000381469702</v>
      </c>
      <c r="C26" s="1" t="s">
        <v>42</v>
      </c>
    </row>
    <row r="27" spans="1:3">
      <c r="A27" s="1" t="s">
        <v>43</v>
      </c>
      <c r="B27" s="1">
        <v>22.5</v>
      </c>
      <c r="C27" s="1" t="s">
        <v>44</v>
      </c>
    </row>
    <row r="28" spans="1:3">
      <c r="A28" s="1" t="s">
        <v>45</v>
      </c>
      <c r="B28" s="1">
        <v>5.0999999046325701</v>
      </c>
      <c r="C28" s="1" t="s">
        <v>46</v>
      </c>
    </row>
    <row r="29" spans="1:3">
      <c r="A29" s="1" t="s">
        <v>47</v>
      </c>
      <c r="B29" s="1" t="s">
        <v>48</v>
      </c>
      <c r="C29" s="1" t="s">
        <v>49</v>
      </c>
    </row>
    <row r="30" spans="1:3">
      <c r="A30" s="1" t="s">
        <v>50</v>
      </c>
      <c r="B30" s="1" t="s">
        <v>51</v>
      </c>
      <c r="C30" s="1" t="s">
        <v>52</v>
      </c>
    </row>
    <row r="31" spans="1:3">
      <c r="A31" s="1" t="s">
        <v>53</v>
      </c>
    </row>
    <row r="32" spans="1:3">
      <c r="A32" s="1" t="s">
        <v>54</v>
      </c>
      <c r="B32" s="1">
        <v>20</v>
      </c>
      <c r="C32" s="1" t="s">
        <v>55</v>
      </c>
    </row>
    <row r="33" spans="1:3">
      <c r="A33" s="1" t="s">
        <v>56</v>
      </c>
      <c r="B33" s="1">
        <v>14000</v>
      </c>
      <c r="C33" s="1" t="s">
        <v>57</v>
      </c>
    </row>
    <row r="34" spans="1:3">
      <c r="A34" s="1" t="s">
        <v>58</v>
      </c>
      <c r="B34" s="1" t="b">
        <v>1</v>
      </c>
      <c r="C34" s="1" t="s">
        <v>59</v>
      </c>
    </row>
    <row r="35" spans="1:3">
      <c r="A35" s="1" t="s">
        <v>60</v>
      </c>
      <c r="B35" s="1">
        <v>1</v>
      </c>
      <c r="C35" s="1" t="s">
        <v>61</v>
      </c>
    </row>
    <row r="36" spans="1:3">
      <c r="A36" s="1" t="s">
        <v>62</v>
      </c>
      <c r="B36" s="1">
        <v>1</v>
      </c>
      <c r="C36" s="1" t="s">
        <v>63</v>
      </c>
    </row>
    <row r="37" spans="1:3">
      <c r="A37" s="1" t="s">
        <v>64</v>
      </c>
      <c r="B37" s="5" t="s">
        <v>65</v>
      </c>
    </row>
    <row r="38" spans="1:3">
      <c r="A38" s="1" t="s">
        <v>66</v>
      </c>
      <c r="B38" s="7" t="s">
        <v>67</v>
      </c>
    </row>
    <row r="40" spans="1:3">
      <c r="A40" s="1" t="s">
        <v>68</v>
      </c>
    </row>
    <row r="41" spans="1:3">
      <c r="A41" s="1" t="s">
        <v>69</v>
      </c>
      <c r="B41" s="1" t="b">
        <v>1</v>
      </c>
    </row>
    <row r="42" spans="1:3">
      <c r="A42" s="1" t="s">
        <v>70</v>
      </c>
      <c r="B42" s="1" t="s">
        <v>71</v>
      </c>
    </row>
    <row r="43" spans="1:3">
      <c r="A43" s="1" t="s">
        <v>72</v>
      </c>
      <c r="B43" s="1" t="s">
        <v>73</v>
      </c>
      <c r="C43" s="1" t="s">
        <v>74</v>
      </c>
    </row>
    <row r="44" spans="1:3">
      <c r="A44" s="1" t="s">
        <v>75</v>
      </c>
      <c r="B44" s="6" t="s">
        <v>76</v>
      </c>
      <c r="C44" s="6" t="s">
        <v>77</v>
      </c>
    </row>
    <row r="45" spans="1:3">
      <c r="A45" s="1" t="s">
        <v>78</v>
      </c>
      <c r="B45" s="1" t="s">
        <v>79</v>
      </c>
      <c r="C45" s="1" t="s">
        <v>80</v>
      </c>
    </row>
    <row r="46" spans="1:3">
      <c r="A46" s="1" t="s">
        <v>81</v>
      </c>
      <c r="B46" s="1" t="s">
        <v>82</v>
      </c>
      <c r="C46" s="1" t="s">
        <v>83</v>
      </c>
    </row>
    <row r="47" spans="1:3">
      <c r="A47" s="1" t="s">
        <v>84</v>
      </c>
      <c r="B47" s="1" t="s">
        <v>85</v>
      </c>
      <c r="C47" s="1" t="s">
        <v>86</v>
      </c>
    </row>
    <row r="48" spans="1:3">
      <c r="A48" s="1" t="s">
        <v>87</v>
      </c>
      <c r="B48" s="6" t="s">
        <v>88</v>
      </c>
      <c r="C48" s="6" t="s">
        <v>89</v>
      </c>
    </row>
    <row r="49" spans="1:6">
      <c r="A49" s="1" t="s">
        <v>90</v>
      </c>
      <c r="B49" s="1" t="s">
        <v>91</v>
      </c>
      <c r="C49" s="1" t="s">
        <v>92</v>
      </c>
    </row>
    <row r="50" spans="1:6">
      <c r="A50" s="1" t="s">
        <v>93</v>
      </c>
      <c r="B50" s="6" t="s">
        <v>94</v>
      </c>
      <c r="C50" s="6" t="s">
        <v>95</v>
      </c>
    </row>
    <row r="51" spans="1:6">
      <c r="A51" s="1" t="str">
        <f>CONCATENATE("Ks Soil normalized at ",B32," °C [cm/d]")</f>
        <v>Ks Soil normalized at 20 °C [cm/d]</v>
      </c>
      <c r="B51" s="1" t="s">
        <v>96</v>
      </c>
      <c r="C51" s="1" t="s">
        <v>97</v>
      </c>
    </row>
    <row r="52" spans="1:6">
      <c r="A52" s="1" t="str">
        <f>CONCATENATE("Ks Soil normalized at ",B32," °C [m/s]")</f>
        <v>Ks Soil normalized at 20 °C [m/s]</v>
      </c>
      <c r="B52" s="6" t="s">
        <v>98</v>
      </c>
      <c r="C52" s="6" t="s">
        <v>99</v>
      </c>
    </row>
    <row r="54" spans="1:6">
      <c r="A54" s="1" t="s">
        <v>100</v>
      </c>
    </row>
    <row r="55" spans="1:6">
      <c r="A55" s="5" t="s">
        <v>101</v>
      </c>
      <c r="B55" s="1" t="s">
        <v>102</v>
      </c>
      <c r="C55" s="1" t="s">
        <v>103</v>
      </c>
      <c r="D55" s="1" t="s">
        <v>104</v>
      </c>
      <c r="E55" s="1" t="s">
        <v>105</v>
      </c>
      <c r="F55" s="1" t="s">
        <v>106</v>
      </c>
    </row>
    <row r="56" spans="1:6">
      <c r="A56" s="4">
        <v>45979.675964733797</v>
      </c>
      <c r="B56" s="1">
        <v>353</v>
      </c>
      <c r="C56" s="1">
        <v>0</v>
      </c>
      <c r="D56" s="1">
        <v>15.645</v>
      </c>
      <c r="E56" s="1">
        <v>15.645</v>
      </c>
      <c r="F56" s="1">
        <v>21.28</v>
      </c>
    </row>
    <row r="57" spans="1:6">
      <c r="A57" s="4">
        <v>45979.6759842014</v>
      </c>
      <c r="B57" s="1">
        <v>35</v>
      </c>
      <c r="C57" s="1">
        <v>1.68</v>
      </c>
      <c r="D57" s="1">
        <v>15.561</v>
      </c>
      <c r="E57" s="1">
        <v>15.602</v>
      </c>
      <c r="F57" s="1">
        <v>21.28</v>
      </c>
    </row>
    <row r="58" spans="1:6">
      <c r="A58" s="4">
        <v>45979.675996307902</v>
      </c>
      <c r="B58" s="1">
        <v>81</v>
      </c>
      <c r="C58" s="1">
        <v>2.73</v>
      </c>
      <c r="D58" s="1">
        <v>15.526999999999999</v>
      </c>
      <c r="E58" s="1">
        <v>15.574999999999999</v>
      </c>
      <c r="F58" s="1">
        <v>21.28</v>
      </c>
    </row>
    <row r="59" spans="1:6">
      <c r="A59" s="4">
        <v>45979.676042083302</v>
      </c>
      <c r="B59" s="1">
        <v>36</v>
      </c>
      <c r="C59" s="1">
        <v>6.68</v>
      </c>
      <c r="D59" s="1">
        <v>15.419</v>
      </c>
      <c r="E59" s="1">
        <v>15.475</v>
      </c>
      <c r="F59" s="1">
        <v>21.28</v>
      </c>
    </row>
    <row r="60" spans="1:6">
      <c r="A60" s="4">
        <v>45979.676093819398</v>
      </c>
      <c r="B60" s="1">
        <v>506</v>
      </c>
      <c r="C60" s="1">
        <v>11.15</v>
      </c>
      <c r="D60" s="1">
        <v>15.298999999999999</v>
      </c>
      <c r="E60" s="1">
        <v>15.361000000000001</v>
      </c>
      <c r="F60" s="1">
        <v>21.29</v>
      </c>
    </row>
    <row r="61" spans="1:6">
      <c r="A61" s="4">
        <v>45979.676145787002</v>
      </c>
      <c r="B61" s="1">
        <v>996</v>
      </c>
      <c r="C61" s="1">
        <v>15.64</v>
      </c>
      <c r="D61" s="1">
        <v>15.17</v>
      </c>
      <c r="E61" s="1">
        <v>15.249000000000001</v>
      </c>
      <c r="F61" s="1">
        <v>21.29</v>
      </c>
    </row>
    <row r="62" spans="1:6">
      <c r="A62" s="4">
        <v>45979.676198205998</v>
      </c>
      <c r="B62" s="1">
        <v>525</v>
      </c>
      <c r="C62" s="1">
        <v>20.170000000000002</v>
      </c>
      <c r="D62" s="1">
        <v>15.063000000000001</v>
      </c>
      <c r="E62" s="1">
        <v>15.135999999999999</v>
      </c>
      <c r="F62" s="1">
        <v>21.29</v>
      </c>
    </row>
    <row r="63" spans="1:6">
      <c r="A63" s="4">
        <v>45979.6762379051</v>
      </c>
      <c r="B63" s="1">
        <v>955</v>
      </c>
      <c r="C63" s="1">
        <v>23.6</v>
      </c>
      <c r="D63" s="1">
        <v>14.959</v>
      </c>
      <c r="E63" s="1">
        <v>15.051</v>
      </c>
      <c r="F63" s="1">
        <v>21.29</v>
      </c>
    </row>
    <row r="64" spans="1:6">
      <c r="A64" s="4">
        <v>45979.676289919</v>
      </c>
      <c r="B64" s="1">
        <v>449</v>
      </c>
      <c r="C64" s="1">
        <v>28.1</v>
      </c>
      <c r="D64" s="1">
        <v>14.847</v>
      </c>
      <c r="E64" s="1">
        <v>14.94</v>
      </c>
      <c r="F64" s="1">
        <v>21.29</v>
      </c>
    </row>
    <row r="65" spans="1:6">
      <c r="A65" s="4">
        <v>45979.676342013903</v>
      </c>
      <c r="B65" s="1">
        <v>950</v>
      </c>
      <c r="C65" s="1">
        <v>32.6</v>
      </c>
      <c r="D65" s="1">
        <v>14.741</v>
      </c>
      <c r="E65" s="1">
        <v>14.83</v>
      </c>
      <c r="F65" s="1">
        <v>21.29</v>
      </c>
    </row>
    <row r="66" spans="1:6">
      <c r="A66" s="4">
        <v>45979.676393287002</v>
      </c>
      <c r="B66" s="1">
        <v>380</v>
      </c>
      <c r="C66" s="1">
        <v>37.03</v>
      </c>
      <c r="D66" s="1">
        <v>14.624000000000001</v>
      </c>
      <c r="E66" s="1">
        <v>14.722</v>
      </c>
      <c r="F66" s="1">
        <v>21.29</v>
      </c>
    </row>
    <row r="67" spans="1:6">
      <c r="A67" s="4">
        <v>45979.676444560202</v>
      </c>
      <c r="B67" s="1">
        <v>810</v>
      </c>
      <c r="C67" s="1">
        <v>41.46</v>
      </c>
      <c r="D67" s="1">
        <v>14.513999999999999</v>
      </c>
      <c r="E67" s="1">
        <v>14.615</v>
      </c>
      <c r="F67" s="1">
        <v>21.29</v>
      </c>
    </row>
    <row r="68" spans="1:6">
      <c r="A68" s="4">
        <v>45979.676495601903</v>
      </c>
      <c r="B68" s="1">
        <v>220</v>
      </c>
      <c r="C68" s="1">
        <v>45.87</v>
      </c>
      <c r="D68" s="1">
        <v>14.398</v>
      </c>
      <c r="E68" s="1">
        <v>14.51</v>
      </c>
      <c r="F68" s="1">
        <v>21.29</v>
      </c>
    </row>
    <row r="69" spans="1:6">
      <c r="A69" s="4">
        <v>45979.676557986102</v>
      </c>
      <c r="B69" s="1">
        <v>610</v>
      </c>
      <c r="C69" s="1">
        <v>51.26</v>
      </c>
      <c r="D69" s="1">
        <v>14.27</v>
      </c>
      <c r="E69" s="1">
        <v>14.382</v>
      </c>
      <c r="F69" s="1">
        <v>21.29</v>
      </c>
    </row>
    <row r="70" spans="1:6">
      <c r="A70" s="4">
        <v>45979.676609259302</v>
      </c>
      <c r="B70" s="1">
        <v>40</v>
      </c>
      <c r="C70" s="1">
        <v>55.69</v>
      </c>
      <c r="D70" s="1">
        <v>14.16</v>
      </c>
      <c r="E70" s="1">
        <v>14.276999999999999</v>
      </c>
      <c r="F70" s="1">
        <v>21.29</v>
      </c>
    </row>
    <row r="71" spans="1:6">
      <c r="A71" s="4">
        <v>45979.676660532401</v>
      </c>
      <c r="B71" s="1">
        <v>470</v>
      </c>
      <c r="C71" s="1">
        <v>60.12</v>
      </c>
      <c r="D71" s="1">
        <v>14.04</v>
      </c>
      <c r="E71" s="1">
        <v>14.173</v>
      </c>
      <c r="F71" s="1">
        <v>21.29</v>
      </c>
    </row>
    <row r="72" spans="1:6">
      <c r="A72" s="4">
        <v>45979.676723611097</v>
      </c>
      <c r="B72" s="1">
        <v>920</v>
      </c>
      <c r="C72" s="1">
        <v>65.569999999999993</v>
      </c>
      <c r="D72" s="1">
        <v>13.920999999999999</v>
      </c>
      <c r="E72" s="1">
        <v>14.045999999999999</v>
      </c>
      <c r="F72" s="1">
        <v>21.29</v>
      </c>
    </row>
    <row r="73" spans="1:6">
      <c r="A73" s="4">
        <v>45979.676775370397</v>
      </c>
      <c r="B73" s="1">
        <v>392</v>
      </c>
      <c r="C73" s="1">
        <v>70.040000000000006</v>
      </c>
      <c r="D73" s="1">
        <v>13.811</v>
      </c>
      <c r="E73" s="1">
        <v>13.943</v>
      </c>
      <c r="F73" s="1">
        <v>21.29</v>
      </c>
    </row>
    <row r="74" spans="1:6">
      <c r="A74" s="4">
        <v>45979.676827800897</v>
      </c>
      <c r="B74" s="1">
        <v>922</v>
      </c>
      <c r="C74" s="1">
        <v>74.569999999999993</v>
      </c>
      <c r="D74" s="1">
        <v>13.707000000000001</v>
      </c>
      <c r="E74" s="1">
        <v>13.839</v>
      </c>
      <c r="F74" s="1">
        <v>21.29</v>
      </c>
    </row>
    <row r="75" spans="1:6">
      <c r="A75" s="4">
        <v>45979.676890891198</v>
      </c>
      <c r="B75" s="1">
        <v>373</v>
      </c>
      <c r="C75" s="1">
        <v>80.02</v>
      </c>
      <c r="D75" s="1">
        <v>13.583</v>
      </c>
      <c r="E75" s="1">
        <v>13.715</v>
      </c>
      <c r="F75" s="1">
        <v>21.29</v>
      </c>
    </row>
    <row r="76" spans="1:6">
      <c r="A76" s="4">
        <v>45979.676941354199</v>
      </c>
      <c r="B76" s="1">
        <v>733</v>
      </c>
      <c r="C76" s="1">
        <v>84.38</v>
      </c>
      <c r="D76" s="1">
        <v>13.481999999999999</v>
      </c>
      <c r="E76" s="1">
        <v>13.617000000000001</v>
      </c>
      <c r="F76" s="1">
        <v>21.29</v>
      </c>
    </row>
    <row r="77" spans="1:6">
      <c r="A77" s="4">
        <v>45979.677003981502</v>
      </c>
      <c r="B77" s="1">
        <v>144</v>
      </c>
      <c r="C77" s="1">
        <v>89.79</v>
      </c>
      <c r="D77" s="1">
        <v>13.371</v>
      </c>
      <c r="E77" s="1">
        <v>13.496</v>
      </c>
      <c r="F77" s="1">
        <v>21.29</v>
      </c>
    </row>
    <row r="78" spans="1:6">
      <c r="A78" s="4">
        <v>45979.677055497697</v>
      </c>
      <c r="B78" s="1">
        <v>595</v>
      </c>
      <c r="C78" s="1">
        <v>94.24</v>
      </c>
      <c r="D78" s="1">
        <v>13.268000000000001</v>
      </c>
      <c r="E78" s="1">
        <v>13.397</v>
      </c>
      <c r="F78" s="1">
        <v>21.29</v>
      </c>
    </row>
    <row r="79" spans="1:6">
      <c r="A79" s="4">
        <v>45979.677107118099</v>
      </c>
      <c r="B79" s="1">
        <v>55</v>
      </c>
      <c r="C79" s="1">
        <v>98.7</v>
      </c>
      <c r="D79" s="1">
        <v>13.164</v>
      </c>
      <c r="E79" s="1">
        <v>13.298</v>
      </c>
      <c r="F79" s="1">
        <v>21.29</v>
      </c>
    </row>
    <row r="80" spans="1:6">
      <c r="A80" s="4">
        <v>45979.677169976901</v>
      </c>
      <c r="B80" s="1">
        <v>486</v>
      </c>
      <c r="C80" s="1">
        <v>104.13</v>
      </c>
      <c r="D80" s="1">
        <v>13.044</v>
      </c>
      <c r="E80" s="1">
        <v>13.179</v>
      </c>
      <c r="F80" s="1">
        <v>21.29</v>
      </c>
    </row>
    <row r="81" spans="1:6">
      <c r="A81" s="4">
        <v>45979.677232812501</v>
      </c>
      <c r="B81" s="1">
        <v>915</v>
      </c>
      <c r="C81" s="1">
        <v>109.56</v>
      </c>
      <c r="D81" s="1">
        <v>12.930999999999999</v>
      </c>
      <c r="E81" s="1">
        <v>13.061</v>
      </c>
      <c r="F81" s="1">
        <v>21.29</v>
      </c>
    </row>
    <row r="82" spans="1:6">
      <c r="A82" s="4">
        <v>45979.677295786998</v>
      </c>
      <c r="B82" s="1">
        <v>356</v>
      </c>
      <c r="C82" s="1">
        <v>115</v>
      </c>
      <c r="D82" s="1">
        <v>12.811999999999999</v>
      </c>
      <c r="E82" s="1">
        <v>12.944000000000001</v>
      </c>
      <c r="F82" s="1">
        <v>21.3</v>
      </c>
    </row>
    <row r="83" spans="1:6">
      <c r="A83" s="4">
        <v>45979.677358634297</v>
      </c>
      <c r="B83" s="1">
        <v>786</v>
      </c>
      <c r="C83" s="1">
        <v>120.43</v>
      </c>
      <c r="D83" s="1">
        <v>12.695</v>
      </c>
      <c r="E83" s="1">
        <v>12.827999999999999</v>
      </c>
      <c r="F83" s="1">
        <v>21.3</v>
      </c>
    </row>
    <row r="84" spans="1:6">
      <c r="A84" s="4">
        <v>45979.677421111097</v>
      </c>
      <c r="B84" s="1">
        <v>184</v>
      </c>
      <c r="C84" s="1">
        <v>125.83</v>
      </c>
      <c r="D84" s="1">
        <v>12.593999999999999</v>
      </c>
      <c r="E84" s="1">
        <v>12.714</v>
      </c>
      <c r="F84" s="1">
        <v>21.3</v>
      </c>
    </row>
    <row r="85" spans="1:6">
      <c r="A85" s="4">
        <v>45979.677472395801</v>
      </c>
      <c r="B85" s="1">
        <v>615</v>
      </c>
      <c r="C85" s="1">
        <v>130.26</v>
      </c>
      <c r="D85" s="1">
        <v>12.493</v>
      </c>
      <c r="E85" s="1">
        <v>12.62</v>
      </c>
      <c r="F85" s="1">
        <v>21.3</v>
      </c>
    </row>
    <row r="86" spans="1:6">
      <c r="A86" s="4">
        <v>45979.6775350116</v>
      </c>
      <c r="B86" s="1">
        <v>25</v>
      </c>
      <c r="C86" s="1">
        <v>135.66999999999999</v>
      </c>
      <c r="D86" s="1">
        <v>12.384</v>
      </c>
      <c r="E86" s="1">
        <v>12.507999999999999</v>
      </c>
      <c r="F86" s="1">
        <v>21.3</v>
      </c>
    </row>
    <row r="87" spans="1:6">
      <c r="A87" s="4">
        <v>45979.6775982986</v>
      </c>
      <c r="B87" s="1">
        <v>493</v>
      </c>
      <c r="C87" s="1">
        <v>141.13999999999999</v>
      </c>
      <c r="D87" s="1">
        <v>12.281000000000001</v>
      </c>
      <c r="E87" s="1">
        <v>12.394</v>
      </c>
      <c r="F87" s="1">
        <v>21.3</v>
      </c>
    </row>
    <row r="88" spans="1:6">
      <c r="A88" s="4">
        <v>45979.677660578702</v>
      </c>
      <c r="B88" s="1">
        <v>874</v>
      </c>
      <c r="C88" s="1">
        <v>146.52000000000001</v>
      </c>
      <c r="D88" s="1">
        <v>12.170999999999999</v>
      </c>
      <c r="E88" s="1">
        <v>12.284000000000001</v>
      </c>
      <c r="F88" s="1">
        <v>21.3</v>
      </c>
    </row>
    <row r="89" spans="1:6">
      <c r="A89" s="4">
        <v>45979.677722731503</v>
      </c>
      <c r="B89" s="1">
        <v>244</v>
      </c>
      <c r="C89" s="1">
        <v>151.88999999999999</v>
      </c>
      <c r="D89" s="1">
        <v>12.057</v>
      </c>
      <c r="E89" s="1">
        <v>12.175000000000001</v>
      </c>
      <c r="F89" s="1">
        <v>21.3</v>
      </c>
    </row>
    <row r="90" spans="1:6">
      <c r="A90" s="4">
        <v>45979.677785266198</v>
      </c>
      <c r="B90" s="1">
        <v>647</v>
      </c>
      <c r="C90" s="1">
        <v>157.29</v>
      </c>
      <c r="D90" s="1">
        <v>11.955</v>
      </c>
      <c r="E90" s="1">
        <v>12.066000000000001</v>
      </c>
      <c r="F90" s="1">
        <v>21.3</v>
      </c>
    </row>
    <row r="91" spans="1:6">
      <c r="A91" s="4">
        <v>45979.677846689803</v>
      </c>
      <c r="B91" s="1">
        <v>954</v>
      </c>
      <c r="C91" s="1">
        <v>162.6</v>
      </c>
      <c r="D91" s="1">
        <v>11.846</v>
      </c>
      <c r="E91" s="1">
        <v>11.959</v>
      </c>
      <c r="F91" s="1">
        <v>21.3</v>
      </c>
    </row>
    <row r="92" spans="1:6">
      <c r="A92" s="4">
        <v>45979.677920567097</v>
      </c>
      <c r="B92" s="1">
        <v>337</v>
      </c>
      <c r="C92" s="1">
        <v>168.98</v>
      </c>
      <c r="D92" s="1">
        <v>11.721</v>
      </c>
      <c r="E92" s="1">
        <v>11.833</v>
      </c>
      <c r="F92" s="1">
        <v>21.3</v>
      </c>
    </row>
    <row r="93" spans="1:6">
      <c r="A93" s="4">
        <v>45979.677989618103</v>
      </c>
      <c r="B93" s="1">
        <v>303</v>
      </c>
      <c r="C93" s="1">
        <v>174.95</v>
      </c>
      <c r="D93" s="1">
        <v>11.615</v>
      </c>
      <c r="E93" s="1">
        <v>11.715999999999999</v>
      </c>
      <c r="F93" s="1">
        <v>21.3</v>
      </c>
    </row>
    <row r="94" spans="1:6">
      <c r="A94" s="4">
        <v>45979.678052361101</v>
      </c>
      <c r="B94" s="1">
        <v>724</v>
      </c>
      <c r="C94" s="1">
        <v>180.37</v>
      </c>
      <c r="D94" s="1">
        <v>11.51</v>
      </c>
      <c r="E94" s="1">
        <v>11.61</v>
      </c>
      <c r="F94" s="1">
        <v>21.3</v>
      </c>
    </row>
    <row r="95" spans="1:6">
      <c r="A95" s="4">
        <v>45979.678115208299</v>
      </c>
      <c r="B95" s="1">
        <v>154</v>
      </c>
      <c r="C95" s="1">
        <v>185.8</v>
      </c>
      <c r="D95" s="1">
        <v>11.404</v>
      </c>
      <c r="E95" s="1">
        <v>11.505000000000001</v>
      </c>
      <c r="F95" s="1">
        <v>21.3</v>
      </c>
    </row>
    <row r="96" spans="1:6">
      <c r="A96" s="4">
        <v>45979.678188124999</v>
      </c>
      <c r="B96" s="1">
        <v>454</v>
      </c>
      <c r="C96" s="1">
        <v>192.1</v>
      </c>
      <c r="D96" s="1">
        <v>11.282999999999999</v>
      </c>
      <c r="E96" s="1">
        <v>11.385</v>
      </c>
      <c r="F96" s="1">
        <v>21.3</v>
      </c>
    </row>
    <row r="97" spans="1:6">
      <c r="A97" s="4">
        <v>45979.678250740697</v>
      </c>
      <c r="B97" s="1">
        <v>864</v>
      </c>
      <c r="C97" s="1">
        <v>197.51</v>
      </c>
      <c r="D97" s="1">
        <v>11.18</v>
      </c>
      <c r="E97" s="1">
        <v>11.282</v>
      </c>
      <c r="F97" s="1">
        <v>21.3</v>
      </c>
    </row>
    <row r="98" spans="1:6">
      <c r="A98" s="4">
        <v>45979.678324814799</v>
      </c>
      <c r="B98" s="1">
        <v>264</v>
      </c>
      <c r="C98" s="1">
        <v>203.91</v>
      </c>
      <c r="D98" s="1">
        <v>11.069000000000001</v>
      </c>
      <c r="E98" s="1">
        <v>11.162000000000001</v>
      </c>
      <c r="F98" s="1">
        <v>21.31</v>
      </c>
    </row>
    <row r="99" spans="1:6">
      <c r="A99" s="4">
        <v>45979.678387326399</v>
      </c>
      <c r="B99" s="1">
        <v>665</v>
      </c>
      <c r="C99" s="1">
        <v>209.31</v>
      </c>
      <c r="D99" s="1">
        <v>10.965</v>
      </c>
      <c r="E99" s="1">
        <v>11.061</v>
      </c>
      <c r="F99" s="1">
        <v>21.31</v>
      </c>
    </row>
    <row r="100" spans="1:6">
      <c r="A100" s="4">
        <v>45979.678461411997</v>
      </c>
      <c r="B100" s="1">
        <v>66</v>
      </c>
      <c r="C100" s="1">
        <v>215.71</v>
      </c>
      <c r="D100" s="1">
        <v>10.847</v>
      </c>
      <c r="E100" s="1">
        <v>10.943</v>
      </c>
      <c r="F100" s="1">
        <v>21.31</v>
      </c>
    </row>
    <row r="101" spans="1:6">
      <c r="A101" s="4">
        <v>45979.678534907398</v>
      </c>
      <c r="B101" s="1">
        <v>416</v>
      </c>
      <c r="C101" s="1">
        <v>222.06</v>
      </c>
      <c r="D101" s="1">
        <v>10.739000000000001</v>
      </c>
      <c r="E101" s="1">
        <v>10.827</v>
      </c>
      <c r="F101" s="1">
        <v>21.31</v>
      </c>
    </row>
    <row r="102" spans="1:6">
      <c r="A102" s="4">
        <v>45979.678608645801</v>
      </c>
      <c r="B102" s="1">
        <v>787</v>
      </c>
      <c r="C102" s="1">
        <v>228.43</v>
      </c>
      <c r="D102" s="1">
        <v>10.627000000000001</v>
      </c>
      <c r="E102" s="1">
        <v>10.712</v>
      </c>
      <c r="F102" s="1">
        <v>21.31</v>
      </c>
    </row>
    <row r="103" spans="1:6">
      <c r="A103" s="4">
        <v>45979.678681689802</v>
      </c>
      <c r="B103" s="1">
        <v>98</v>
      </c>
      <c r="C103" s="1">
        <v>234.75</v>
      </c>
      <c r="D103" s="1">
        <v>10.516999999999999</v>
      </c>
      <c r="E103" s="1">
        <v>10.599</v>
      </c>
      <c r="F103" s="1">
        <v>21.31</v>
      </c>
    </row>
    <row r="104" spans="1:6">
      <c r="A104" s="4">
        <v>45979.678756006899</v>
      </c>
      <c r="B104" s="1">
        <v>519</v>
      </c>
      <c r="C104" s="1">
        <v>241.17</v>
      </c>
      <c r="D104" s="1">
        <v>10.401</v>
      </c>
      <c r="E104" s="1">
        <v>10.484999999999999</v>
      </c>
      <c r="F104" s="1">
        <v>21.31</v>
      </c>
    </row>
    <row r="105" spans="1:6">
      <c r="A105" s="4">
        <v>45979.678829976903</v>
      </c>
      <c r="B105" s="1">
        <v>910</v>
      </c>
      <c r="C105" s="1">
        <v>247.56</v>
      </c>
      <c r="D105" s="1">
        <v>10.295999999999999</v>
      </c>
      <c r="E105" s="1">
        <v>10.372999999999999</v>
      </c>
      <c r="F105" s="1">
        <v>21.31</v>
      </c>
    </row>
    <row r="106" spans="1:6">
      <c r="A106" s="4">
        <v>45979.678903819397</v>
      </c>
      <c r="B106" s="1">
        <v>290</v>
      </c>
      <c r="C106" s="1">
        <v>253.94</v>
      </c>
      <c r="D106" s="1">
        <v>10.193</v>
      </c>
      <c r="E106" s="1">
        <v>10.262</v>
      </c>
      <c r="F106" s="1">
        <v>21.31</v>
      </c>
    </row>
    <row r="107" spans="1:6">
      <c r="A107" s="4">
        <v>45979.6789782755</v>
      </c>
      <c r="B107" s="1">
        <v>723</v>
      </c>
      <c r="C107" s="1">
        <v>260.37</v>
      </c>
      <c r="D107" s="1">
        <v>10.089</v>
      </c>
      <c r="E107" s="1">
        <v>10.151</v>
      </c>
      <c r="F107" s="1">
        <v>21.31</v>
      </c>
    </row>
    <row r="108" spans="1:6">
      <c r="A108" s="4">
        <v>45979.679040625</v>
      </c>
      <c r="B108" s="1">
        <v>110</v>
      </c>
      <c r="C108" s="1">
        <v>265.76</v>
      </c>
      <c r="D108" s="1">
        <v>9.9860000000000007</v>
      </c>
      <c r="E108" s="1">
        <v>10.058999999999999</v>
      </c>
      <c r="F108" s="1">
        <v>21.31</v>
      </c>
    </row>
    <row r="109" spans="1:6">
      <c r="A109" s="4">
        <v>45979.679113310202</v>
      </c>
      <c r="B109" s="1">
        <v>390</v>
      </c>
      <c r="C109" s="1">
        <v>272.04000000000002</v>
      </c>
      <c r="D109" s="1">
        <v>9.8789999999999996</v>
      </c>
      <c r="E109" s="1">
        <v>9.9529999999999994</v>
      </c>
      <c r="F109" s="1">
        <v>21.32</v>
      </c>
    </row>
    <row r="110" spans="1:6">
      <c r="A110" s="4">
        <v>45979.679197233803</v>
      </c>
      <c r="B110" s="1">
        <v>641</v>
      </c>
      <c r="C110" s="1">
        <v>279.29000000000002</v>
      </c>
      <c r="D110" s="1">
        <v>9.7739999999999991</v>
      </c>
      <c r="E110" s="1">
        <v>9.8320000000000007</v>
      </c>
      <c r="F110" s="1">
        <v>21.32</v>
      </c>
    </row>
    <row r="111" spans="1:6">
      <c r="A111" s="4">
        <v>45979.679281840297</v>
      </c>
      <c r="B111" s="1">
        <v>951</v>
      </c>
      <c r="C111" s="1">
        <v>286.60000000000002</v>
      </c>
      <c r="D111" s="1">
        <v>9.6609999999999996</v>
      </c>
      <c r="E111" s="1">
        <v>9.7110000000000003</v>
      </c>
      <c r="F111" s="1">
        <v>21.32</v>
      </c>
    </row>
    <row r="112" spans="1:6">
      <c r="A112" s="4">
        <v>45979.679355914399</v>
      </c>
      <c r="B112" s="1">
        <v>351</v>
      </c>
      <c r="C112" s="1">
        <v>293</v>
      </c>
      <c r="D112" s="1">
        <v>9.5559999999999992</v>
      </c>
      <c r="E112" s="1">
        <v>9.6059999999999999</v>
      </c>
      <c r="F112" s="1">
        <v>21.32</v>
      </c>
    </row>
    <row r="113" spans="1:6">
      <c r="A113" s="4">
        <v>45979.679440069398</v>
      </c>
      <c r="B113" s="1">
        <v>622</v>
      </c>
      <c r="C113" s="1">
        <v>300.27</v>
      </c>
      <c r="D113" s="1">
        <v>9.4459999999999997</v>
      </c>
      <c r="E113" s="1">
        <v>9.4890000000000008</v>
      </c>
      <c r="F113" s="1">
        <v>21.32</v>
      </c>
    </row>
    <row r="114" spans="1:6">
      <c r="A114" s="4">
        <v>45979.679512754599</v>
      </c>
      <c r="B114" s="1">
        <v>902</v>
      </c>
      <c r="C114" s="1">
        <v>306.55</v>
      </c>
      <c r="D114" s="1">
        <v>9.3369999999999997</v>
      </c>
      <c r="E114" s="1">
        <v>9.3879999999999999</v>
      </c>
      <c r="F114" s="1">
        <v>21.32</v>
      </c>
    </row>
    <row r="115" spans="1:6">
      <c r="A115" s="4">
        <v>45979.679596319402</v>
      </c>
      <c r="B115" s="1">
        <v>122</v>
      </c>
      <c r="C115" s="1">
        <v>313.77</v>
      </c>
      <c r="D115" s="1">
        <v>9.2260000000000009</v>
      </c>
      <c r="E115" s="1">
        <v>9.2739999999999991</v>
      </c>
      <c r="F115" s="1">
        <v>21.32</v>
      </c>
    </row>
    <row r="116" spans="1:6">
      <c r="A116" s="4">
        <v>45979.6796699306</v>
      </c>
      <c r="B116" s="1">
        <v>482</v>
      </c>
      <c r="C116" s="1">
        <v>320.13</v>
      </c>
      <c r="D116" s="1">
        <v>9.125</v>
      </c>
      <c r="E116" s="1">
        <v>9.1739999999999995</v>
      </c>
      <c r="F116" s="1">
        <v>21.32</v>
      </c>
    </row>
    <row r="117" spans="1:6">
      <c r="A117" s="4">
        <v>45979.679754942103</v>
      </c>
      <c r="B117" s="1">
        <v>827</v>
      </c>
      <c r="C117" s="1">
        <v>327.47000000000003</v>
      </c>
      <c r="D117" s="1">
        <v>9.0210000000000008</v>
      </c>
      <c r="E117" s="1">
        <v>9.06</v>
      </c>
      <c r="F117" s="1">
        <v>21.32</v>
      </c>
    </row>
    <row r="118" spans="1:6">
      <c r="A118" s="4">
        <v>45979.679850509303</v>
      </c>
      <c r="B118" s="1">
        <v>84</v>
      </c>
      <c r="C118" s="1">
        <v>335.73</v>
      </c>
      <c r="D118" s="1">
        <v>8.9060000000000006</v>
      </c>
      <c r="E118" s="1">
        <v>8.9329999999999998</v>
      </c>
      <c r="F118" s="1">
        <v>21.32</v>
      </c>
    </row>
    <row r="119" spans="1:6">
      <c r="A119" s="4">
        <v>45979.679923773103</v>
      </c>
      <c r="B119" s="1">
        <v>414</v>
      </c>
      <c r="C119" s="1">
        <v>342.06</v>
      </c>
      <c r="D119" s="1">
        <v>8.8059999999999992</v>
      </c>
      <c r="E119" s="1">
        <v>8.8369999999999997</v>
      </c>
      <c r="F119" s="1">
        <v>21.33</v>
      </c>
    </row>
    <row r="120" spans="1:6">
      <c r="A120" s="4">
        <v>45979.680008495401</v>
      </c>
      <c r="B120" s="1">
        <v>734</v>
      </c>
      <c r="C120" s="1">
        <v>349.38</v>
      </c>
      <c r="D120" s="1">
        <v>8.6910000000000007</v>
      </c>
      <c r="E120" s="1">
        <v>8.7270000000000003</v>
      </c>
      <c r="F120" s="1">
        <v>21.33</v>
      </c>
    </row>
    <row r="121" spans="1:6">
      <c r="A121" s="4">
        <v>45979.680104213003</v>
      </c>
      <c r="B121" s="1">
        <v>4</v>
      </c>
      <c r="C121" s="1">
        <v>357.65</v>
      </c>
      <c r="D121" s="1">
        <v>8.577</v>
      </c>
      <c r="E121" s="1">
        <v>8.6050000000000004</v>
      </c>
      <c r="F121" s="1">
        <v>21.34</v>
      </c>
    </row>
    <row r="122" spans="1:6">
      <c r="A122" s="4">
        <v>45979.680189745399</v>
      </c>
      <c r="B122" s="1">
        <v>394</v>
      </c>
      <c r="C122" s="1">
        <v>365.04</v>
      </c>
      <c r="D122" s="1">
        <v>8.4719999999999995</v>
      </c>
      <c r="E122" s="1">
        <v>8.4960000000000004</v>
      </c>
      <c r="F122" s="1">
        <v>21.34</v>
      </c>
    </row>
    <row r="123" spans="1:6">
      <c r="A123" s="4">
        <v>45979.680274097198</v>
      </c>
      <c r="B123" s="1">
        <v>682</v>
      </c>
      <c r="C123" s="1">
        <v>372.33</v>
      </c>
      <c r="D123" s="1">
        <v>8.3670000000000009</v>
      </c>
      <c r="E123" s="1">
        <v>8.391</v>
      </c>
      <c r="F123" s="1">
        <v>21.35</v>
      </c>
    </row>
    <row r="124" spans="1:6">
      <c r="A124" s="4">
        <v>45979.680358819402</v>
      </c>
      <c r="B124" s="1">
        <v>2</v>
      </c>
      <c r="C124" s="1">
        <v>379.65</v>
      </c>
      <c r="D124" s="1">
        <v>8.266</v>
      </c>
      <c r="E124" s="1">
        <v>8.2859999999999996</v>
      </c>
      <c r="F124" s="1">
        <v>21.35</v>
      </c>
    </row>
    <row r="125" spans="1:6">
      <c r="A125" s="4">
        <v>45979.680454386602</v>
      </c>
      <c r="B125" s="1">
        <v>259</v>
      </c>
      <c r="C125" s="1">
        <v>387.91</v>
      </c>
      <c r="D125" s="1">
        <v>8.157</v>
      </c>
      <c r="E125" s="1">
        <v>8.1690000000000005</v>
      </c>
      <c r="F125" s="1">
        <v>21.36</v>
      </c>
    </row>
    <row r="126" spans="1:6">
      <c r="A126" s="4">
        <v>45979.6805501157</v>
      </c>
      <c r="B126" s="1">
        <v>530</v>
      </c>
      <c r="C126" s="1">
        <v>396.18</v>
      </c>
      <c r="D126" s="1">
        <v>8.0500000000000007</v>
      </c>
      <c r="E126" s="1">
        <v>8.0540000000000003</v>
      </c>
      <c r="F126" s="1">
        <v>21.36</v>
      </c>
    </row>
    <row r="127" spans="1:6">
      <c r="A127" s="4">
        <v>45979.680644212996</v>
      </c>
      <c r="B127" s="1">
        <v>660</v>
      </c>
      <c r="C127" s="1">
        <v>404.31</v>
      </c>
      <c r="D127" s="1">
        <v>7.9459999999999997</v>
      </c>
      <c r="E127" s="1">
        <v>7.9420000000000002</v>
      </c>
      <c r="F127" s="1">
        <v>21.37</v>
      </c>
    </row>
    <row r="128" spans="1:6">
      <c r="A128" s="4">
        <v>45979.680739016199</v>
      </c>
      <c r="B128" s="1">
        <v>851</v>
      </c>
      <c r="C128" s="1">
        <v>412.5</v>
      </c>
      <c r="D128" s="1">
        <v>7.8449999999999998</v>
      </c>
      <c r="E128" s="1">
        <v>7.83</v>
      </c>
      <c r="F128" s="1">
        <v>21.38</v>
      </c>
    </row>
    <row r="129" spans="1:6">
      <c r="A129" s="4">
        <v>45979.680845694398</v>
      </c>
      <c r="B129" s="1">
        <v>68</v>
      </c>
      <c r="C129" s="1">
        <v>421.71</v>
      </c>
      <c r="D129" s="1">
        <v>7.7290000000000001</v>
      </c>
      <c r="E129" s="1">
        <v>7.7060000000000004</v>
      </c>
      <c r="F129" s="1">
        <v>21.39</v>
      </c>
    </row>
    <row r="130" spans="1:6">
      <c r="A130" s="4">
        <v>45979.680929849499</v>
      </c>
      <c r="B130" s="1">
        <v>339</v>
      </c>
      <c r="C130" s="1">
        <v>428.99</v>
      </c>
      <c r="D130" s="1">
        <v>7.6239999999999997</v>
      </c>
      <c r="E130" s="1">
        <v>7.61</v>
      </c>
      <c r="F130" s="1">
        <v>21.39</v>
      </c>
    </row>
    <row r="131" spans="1:6">
      <c r="A131" s="4">
        <v>45979.681026967599</v>
      </c>
      <c r="B131" s="1">
        <v>730</v>
      </c>
      <c r="C131" s="1">
        <v>437.38</v>
      </c>
      <c r="D131" s="1">
        <v>7.5229999999999997</v>
      </c>
      <c r="E131" s="1">
        <v>7.5</v>
      </c>
      <c r="F131" s="1">
        <v>21.38</v>
      </c>
    </row>
    <row r="132" spans="1:6">
      <c r="A132" s="4">
        <v>45979.681122245398</v>
      </c>
      <c r="B132" s="1">
        <v>962</v>
      </c>
      <c r="C132" s="1">
        <v>445.61</v>
      </c>
      <c r="D132" s="1">
        <v>7.415</v>
      </c>
      <c r="E132" s="1">
        <v>7.3929999999999998</v>
      </c>
      <c r="F132" s="1">
        <v>21.39</v>
      </c>
    </row>
    <row r="133" spans="1:6">
      <c r="A133" s="4">
        <v>45979.681219259299</v>
      </c>
      <c r="B133" s="1">
        <v>344</v>
      </c>
      <c r="C133" s="1">
        <v>453.99</v>
      </c>
      <c r="D133" s="1">
        <v>7.3079999999999998</v>
      </c>
      <c r="E133" s="1">
        <v>7.2859999999999996</v>
      </c>
      <c r="F133" s="1">
        <v>21.39</v>
      </c>
    </row>
    <row r="134" spans="1:6">
      <c r="A134" s="4">
        <v>45979.681325902799</v>
      </c>
      <c r="B134" s="1">
        <v>558</v>
      </c>
      <c r="C134" s="1">
        <v>463.2</v>
      </c>
      <c r="D134" s="1">
        <v>7.1980000000000004</v>
      </c>
      <c r="E134" s="1">
        <v>7.17</v>
      </c>
      <c r="F134" s="1">
        <v>21.39</v>
      </c>
    </row>
    <row r="135" spans="1:6">
      <c r="A135" s="4">
        <v>45979.681431608798</v>
      </c>
      <c r="B135" s="1">
        <v>691</v>
      </c>
      <c r="C135" s="1">
        <v>472.34</v>
      </c>
      <c r="D135" s="1">
        <v>7.09</v>
      </c>
      <c r="E135" s="1">
        <v>7.0570000000000004</v>
      </c>
      <c r="F135" s="1">
        <v>21.39</v>
      </c>
    </row>
    <row r="136" spans="1:6">
      <c r="A136" s="4">
        <v>45979.681537407399</v>
      </c>
      <c r="B136" s="1">
        <v>832</v>
      </c>
      <c r="C136" s="1">
        <v>481.48</v>
      </c>
      <c r="D136" s="1">
        <v>6.9870000000000001</v>
      </c>
      <c r="E136" s="1">
        <v>6.9450000000000003</v>
      </c>
      <c r="F136" s="1">
        <v>21.39</v>
      </c>
    </row>
    <row r="137" spans="1:6">
      <c r="A137" s="4">
        <v>45979.6816222454</v>
      </c>
      <c r="B137" s="1">
        <v>162</v>
      </c>
      <c r="C137" s="1">
        <v>488.81</v>
      </c>
      <c r="D137" s="1">
        <v>6.8840000000000003</v>
      </c>
      <c r="E137" s="1">
        <v>6.8559999999999999</v>
      </c>
      <c r="F137" s="1">
        <v>21.39</v>
      </c>
    </row>
    <row r="138" spans="1:6">
      <c r="A138" s="4">
        <v>45979.681728750002</v>
      </c>
      <c r="B138" s="1">
        <v>364</v>
      </c>
      <c r="C138" s="1">
        <v>498.01</v>
      </c>
      <c r="D138" s="1">
        <v>6.7709999999999999</v>
      </c>
      <c r="E138" s="1">
        <v>6.7469999999999999</v>
      </c>
      <c r="F138" s="1">
        <v>21.39</v>
      </c>
    </row>
    <row r="139" spans="1:6">
      <c r="A139" s="4">
        <v>45979.681836388903</v>
      </c>
      <c r="B139" s="1">
        <v>664</v>
      </c>
      <c r="C139" s="1">
        <v>507.31</v>
      </c>
      <c r="D139" s="1">
        <v>6.6660000000000004</v>
      </c>
      <c r="E139" s="1">
        <v>6.6369999999999996</v>
      </c>
      <c r="F139" s="1">
        <v>21.39</v>
      </c>
    </row>
    <row r="140" spans="1:6">
      <c r="A140" s="4">
        <v>45979.681942071802</v>
      </c>
      <c r="B140" s="1">
        <v>795</v>
      </c>
      <c r="C140" s="1">
        <v>516.44000000000005</v>
      </c>
      <c r="D140" s="1">
        <v>6.5640000000000001</v>
      </c>
      <c r="E140" s="1">
        <v>6.5309999999999997</v>
      </c>
      <c r="F140" s="1">
        <v>21.39</v>
      </c>
    </row>
    <row r="141" spans="1:6">
      <c r="A141" s="4">
        <v>45979.682038946798</v>
      </c>
      <c r="B141" s="1">
        <v>165</v>
      </c>
      <c r="C141" s="1">
        <v>524.80999999999995</v>
      </c>
      <c r="D141" s="1">
        <v>6.4619999999999997</v>
      </c>
      <c r="E141" s="1">
        <v>6.4349999999999996</v>
      </c>
      <c r="F141" s="1">
        <v>21.39</v>
      </c>
    </row>
    <row r="142" spans="1:6">
      <c r="A142" s="4">
        <v>45979.682167094899</v>
      </c>
      <c r="B142" s="1">
        <v>237</v>
      </c>
      <c r="C142" s="1">
        <v>535.88</v>
      </c>
      <c r="D142" s="1">
        <v>6.3540000000000001</v>
      </c>
      <c r="E142" s="1">
        <v>6.3109999999999999</v>
      </c>
      <c r="F142" s="1">
        <v>21.39</v>
      </c>
    </row>
    <row r="143" spans="1:6">
      <c r="A143" s="4">
        <v>45979.682251712999</v>
      </c>
      <c r="B143" s="1">
        <v>548</v>
      </c>
      <c r="C143" s="1">
        <v>543.19000000000005</v>
      </c>
      <c r="D143" s="1">
        <v>6.2510000000000003</v>
      </c>
      <c r="E143" s="1">
        <v>6.2290000000000001</v>
      </c>
      <c r="F143" s="1">
        <v>21.39</v>
      </c>
    </row>
    <row r="144" spans="1:6">
      <c r="A144" s="4">
        <v>45979.6823692014</v>
      </c>
      <c r="B144" s="1">
        <v>699</v>
      </c>
      <c r="C144" s="1">
        <v>553.35</v>
      </c>
      <c r="D144" s="1">
        <v>6.15</v>
      </c>
      <c r="E144" s="1">
        <v>6.1180000000000003</v>
      </c>
      <c r="F144" s="1">
        <v>21.39</v>
      </c>
    </row>
    <row r="145" spans="1:6">
      <c r="A145" s="4">
        <v>45979.682477326402</v>
      </c>
      <c r="B145" s="1">
        <v>41</v>
      </c>
      <c r="C145" s="1">
        <v>562.69000000000005</v>
      </c>
      <c r="D145" s="1">
        <v>6.0460000000000003</v>
      </c>
      <c r="E145" s="1">
        <v>6.0170000000000003</v>
      </c>
      <c r="F145" s="1">
        <v>21.4</v>
      </c>
    </row>
    <row r="146" spans="1:6">
      <c r="A146" s="4">
        <v>45979.682605439797</v>
      </c>
      <c r="B146" s="1">
        <v>110</v>
      </c>
      <c r="C146" s="1">
        <v>573.76</v>
      </c>
      <c r="D146" s="1">
        <v>5.9379999999999997</v>
      </c>
      <c r="E146" s="1">
        <v>5.9</v>
      </c>
      <c r="F146" s="1">
        <v>21.39</v>
      </c>
    </row>
    <row r="147" spans="1:6">
      <c r="A147" s="4">
        <v>45979.682711817099</v>
      </c>
      <c r="B147" s="1">
        <v>301</v>
      </c>
      <c r="C147" s="1">
        <v>582.95000000000005</v>
      </c>
      <c r="D147" s="1">
        <v>5.8380000000000001</v>
      </c>
      <c r="E147" s="1">
        <v>5.8029999999999999</v>
      </c>
      <c r="F147" s="1">
        <v>21.39</v>
      </c>
    </row>
    <row r="148" spans="1:6">
      <c r="A148" s="4">
        <v>45979.682840069399</v>
      </c>
      <c r="B148" s="1">
        <v>382</v>
      </c>
      <c r="C148" s="1">
        <v>594.03</v>
      </c>
      <c r="D148" s="1">
        <v>5.7290000000000001</v>
      </c>
      <c r="E148" s="1">
        <v>5.6890000000000001</v>
      </c>
      <c r="F148" s="1">
        <v>21.39</v>
      </c>
    </row>
    <row r="149" spans="1:6">
      <c r="A149" s="4">
        <v>45979.682956736098</v>
      </c>
      <c r="B149" s="1">
        <v>462</v>
      </c>
      <c r="C149" s="1">
        <v>604.11</v>
      </c>
      <c r="D149" s="1">
        <v>5.6219999999999999</v>
      </c>
      <c r="E149" s="1">
        <v>5.5869999999999997</v>
      </c>
      <c r="F149" s="1">
        <v>21.39</v>
      </c>
    </row>
    <row r="150" spans="1:6">
      <c r="A150" s="4">
        <v>45979.683074340297</v>
      </c>
      <c r="B150" s="1">
        <v>623</v>
      </c>
      <c r="C150" s="1">
        <v>614.27</v>
      </c>
      <c r="D150" s="1">
        <v>5.5119999999999996</v>
      </c>
      <c r="E150" s="1">
        <v>5.4859999999999998</v>
      </c>
      <c r="F150" s="1">
        <v>21.39</v>
      </c>
    </row>
    <row r="151" spans="1:6">
      <c r="A151" s="4">
        <v>45979.683202349501</v>
      </c>
      <c r="B151" s="1">
        <v>683</v>
      </c>
      <c r="C151" s="1">
        <v>625.33000000000004</v>
      </c>
      <c r="D151" s="1">
        <v>5.399</v>
      </c>
      <c r="E151" s="1">
        <v>5.3769999999999998</v>
      </c>
      <c r="F151" s="1">
        <v>21.39</v>
      </c>
    </row>
    <row r="152" spans="1:6">
      <c r="A152" s="4">
        <v>45979.683331284701</v>
      </c>
      <c r="B152" s="1">
        <v>823</v>
      </c>
      <c r="C152" s="1">
        <v>636.47</v>
      </c>
      <c r="D152" s="1">
        <v>5.2990000000000004</v>
      </c>
      <c r="E152" s="1">
        <v>5.27</v>
      </c>
      <c r="F152" s="1">
        <v>21.4</v>
      </c>
    </row>
    <row r="153" spans="1:6">
      <c r="A153" s="4">
        <v>45979.683449363401</v>
      </c>
      <c r="B153" s="1">
        <v>25</v>
      </c>
      <c r="C153" s="1">
        <v>646.66999999999996</v>
      </c>
      <c r="D153" s="1">
        <v>5.1929999999999996</v>
      </c>
      <c r="E153" s="1">
        <v>5.173</v>
      </c>
      <c r="F153" s="1">
        <v>21.4</v>
      </c>
    </row>
    <row r="154" spans="1:6">
      <c r="A154" s="4">
        <v>45979.683589016196</v>
      </c>
      <c r="B154" s="1">
        <v>91</v>
      </c>
      <c r="C154" s="1">
        <v>658.74</v>
      </c>
      <c r="D154" s="1">
        <v>5.0869999999999997</v>
      </c>
      <c r="E154" s="1">
        <v>5.0599999999999996</v>
      </c>
      <c r="F154" s="1">
        <v>21.4</v>
      </c>
    </row>
    <row r="155" spans="1:6">
      <c r="A155" s="4">
        <v>45979.6837277546</v>
      </c>
      <c r="B155" s="1">
        <v>78</v>
      </c>
      <c r="C155" s="1">
        <v>670.72</v>
      </c>
      <c r="D155" s="1">
        <v>4.9800000000000004</v>
      </c>
      <c r="E155" s="1">
        <v>4.9509999999999996</v>
      </c>
      <c r="F155" s="1">
        <v>21.4</v>
      </c>
    </row>
    <row r="156" spans="1:6">
      <c r="A156" s="4">
        <v>45979.683880081</v>
      </c>
      <c r="B156" s="1">
        <v>239</v>
      </c>
      <c r="C156" s="1">
        <v>683.89</v>
      </c>
      <c r="D156" s="1">
        <v>4.8719999999999999</v>
      </c>
      <c r="E156" s="1">
        <v>4.8330000000000002</v>
      </c>
      <c r="F156" s="1">
        <v>21.4</v>
      </c>
    </row>
    <row r="157" spans="1:6">
      <c r="A157" s="4">
        <v>45979.6840095023</v>
      </c>
      <c r="B157" s="1">
        <v>421</v>
      </c>
      <c r="C157" s="1">
        <v>695.07</v>
      </c>
      <c r="D157" s="1">
        <v>4.7649999999999997</v>
      </c>
      <c r="E157" s="1">
        <v>4.734</v>
      </c>
      <c r="F157" s="1">
        <v>21.4</v>
      </c>
    </row>
    <row r="158" spans="1:6">
      <c r="A158" s="4">
        <v>45979.684148749999</v>
      </c>
      <c r="B158" s="1">
        <v>452</v>
      </c>
      <c r="C158" s="1">
        <v>707.1</v>
      </c>
      <c r="D158" s="1">
        <v>4.6479999999999997</v>
      </c>
      <c r="E158" s="1">
        <v>4.63</v>
      </c>
      <c r="F158" s="1">
        <v>21.4</v>
      </c>
    </row>
    <row r="159" spans="1:6">
      <c r="A159" s="4">
        <v>45979.6843097569</v>
      </c>
      <c r="B159" s="1">
        <v>363</v>
      </c>
      <c r="C159" s="1">
        <v>721.01</v>
      </c>
      <c r="D159" s="1">
        <v>4.5380000000000003</v>
      </c>
      <c r="E159" s="1">
        <v>4.5119999999999996</v>
      </c>
      <c r="F159" s="1">
        <v>21.4</v>
      </c>
    </row>
    <row r="160" spans="1:6">
      <c r="A160" s="4">
        <v>45979.684460474498</v>
      </c>
      <c r="B160" s="1">
        <v>385</v>
      </c>
      <c r="C160" s="1">
        <v>734.03</v>
      </c>
      <c r="D160" s="1">
        <v>4.4210000000000003</v>
      </c>
      <c r="E160" s="1">
        <v>4.4039999999999999</v>
      </c>
      <c r="F160" s="1">
        <v>21.4</v>
      </c>
    </row>
    <row r="161" spans="1:6">
      <c r="A161" s="4">
        <v>45979.684611192097</v>
      </c>
      <c r="B161" s="1">
        <v>407</v>
      </c>
      <c r="C161" s="1">
        <v>747.05</v>
      </c>
      <c r="D161" s="1">
        <v>4.3129999999999997</v>
      </c>
      <c r="E161" s="1">
        <v>4.298</v>
      </c>
      <c r="F161" s="1">
        <v>21.41</v>
      </c>
    </row>
    <row r="162" spans="1:6">
      <c r="A162" s="4">
        <v>45979.684773125002</v>
      </c>
      <c r="B162" s="1">
        <v>398</v>
      </c>
      <c r="C162" s="1">
        <v>761.05</v>
      </c>
      <c r="D162" s="1">
        <v>4.2069999999999999</v>
      </c>
      <c r="E162" s="1">
        <v>4.1870000000000003</v>
      </c>
      <c r="F162" s="1">
        <v>21.41</v>
      </c>
    </row>
    <row r="163" spans="1:6">
      <c r="A163" s="4">
        <v>45979.684912002303</v>
      </c>
      <c r="B163" s="1">
        <v>397</v>
      </c>
      <c r="C163" s="1">
        <v>773.04</v>
      </c>
      <c r="D163" s="1">
        <v>4.1059999999999999</v>
      </c>
      <c r="E163" s="1">
        <v>4.093</v>
      </c>
      <c r="F163" s="1">
        <v>21.41</v>
      </c>
    </row>
    <row r="164" spans="1:6">
      <c r="A164" s="4">
        <v>45979.685062777797</v>
      </c>
      <c r="B164" s="1">
        <v>424</v>
      </c>
      <c r="C164" s="1">
        <v>786.07</v>
      </c>
      <c r="D164" s="1">
        <v>3.9929999999999999</v>
      </c>
      <c r="E164" s="1">
        <v>3.9929999999999999</v>
      </c>
      <c r="F164" s="1">
        <v>21.41</v>
      </c>
    </row>
    <row r="165" spans="1:6">
      <c r="A165" s="4">
        <v>45979.685235671299</v>
      </c>
      <c r="B165" s="1">
        <v>362</v>
      </c>
      <c r="C165" s="1">
        <v>801.01</v>
      </c>
      <c r="D165" s="1">
        <v>3.883</v>
      </c>
      <c r="E165" s="1">
        <v>-99999</v>
      </c>
      <c r="F165" s="1">
        <v>21.41</v>
      </c>
    </row>
    <row r="166" spans="1:6">
      <c r="A166" s="4"/>
    </row>
    <row r="167" spans="1:6">
      <c r="A167" s="4"/>
    </row>
    <row r="168" spans="1:6">
      <c r="A168" s="4"/>
    </row>
    <row r="169" spans="1:6">
      <c r="A169" s="4"/>
    </row>
    <row r="170" spans="1:6">
      <c r="A170" s="4"/>
    </row>
    <row r="171" spans="1:6">
      <c r="A171" s="4"/>
    </row>
    <row r="172" spans="1:6">
      <c r="A172" s="4"/>
    </row>
    <row r="173" spans="1:6">
      <c r="A173" s="4"/>
    </row>
    <row r="174" spans="1:6">
      <c r="A174" s="4"/>
    </row>
    <row r="175" spans="1:6">
      <c r="A175" s="4"/>
    </row>
    <row r="176" spans="1:6">
      <c r="A176" s="4"/>
    </row>
    <row r="177" spans="1:1">
      <c r="A177" s="4"/>
    </row>
    <row r="178" spans="1:1">
      <c r="A178" s="4"/>
    </row>
    <row r="179" spans="1:1">
      <c r="A179" s="4"/>
    </row>
    <row r="180" spans="1:1">
      <c r="A180" s="4"/>
    </row>
    <row r="181" spans="1:1">
      <c r="A181" s="4"/>
    </row>
    <row r="182" spans="1:1">
      <c r="A182" s="4"/>
    </row>
    <row r="183" spans="1:1">
      <c r="A183" s="4"/>
    </row>
    <row r="184" spans="1:1">
      <c r="A184" s="4"/>
    </row>
    <row r="185" spans="1:1">
      <c r="A185" s="4"/>
    </row>
    <row r="186" spans="1:1">
      <c r="A186" s="4"/>
    </row>
    <row r="187" spans="1:1">
      <c r="A187" s="4"/>
    </row>
    <row r="188" spans="1:1">
      <c r="A188" s="4"/>
    </row>
    <row r="189" spans="1:1">
      <c r="A189" s="4"/>
    </row>
    <row r="190" spans="1:1">
      <c r="A190" s="4"/>
    </row>
    <row r="191" spans="1:1">
      <c r="A191" s="4"/>
    </row>
    <row r="192" spans="1:1">
      <c r="A192" s="4"/>
    </row>
    <row r="193" spans="1:1">
      <c r="A193" s="4"/>
    </row>
    <row r="194" spans="1:1">
      <c r="A194" s="4"/>
    </row>
    <row r="195" spans="1:1">
      <c r="A195" s="4"/>
    </row>
    <row r="196" spans="1:1">
      <c r="A196" s="4"/>
    </row>
    <row r="197" spans="1:1">
      <c r="A197" s="4"/>
    </row>
    <row r="198" spans="1:1">
      <c r="A198" s="4"/>
    </row>
    <row r="199" spans="1:1">
      <c r="A199" s="4"/>
    </row>
    <row r="200" spans="1:1">
      <c r="A200" s="4"/>
    </row>
    <row r="201" spans="1:1">
      <c r="A201" s="4"/>
    </row>
    <row r="202" spans="1:1">
      <c r="A202" s="4"/>
    </row>
    <row r="203" spans="1:1">
      <c r="A203" s="4"/>
    </row>
    <row r="204" spans="1:1">
      <c r="A204" s="4"/>
    </row>
    <row r="205" spans="1:1">
      <c r="A205" s="4"/>
    </row>
    <row r="206" spans="1:1">
      <c r="A206" s="4"/>
    </row>
    <row r="207" spans="1:1">
      <c r="A207" s="4"/>
    </row>
    <row r="208" spans="1:1">
      <c r="A208" s="4"/>
    </row>
    <row r="209" spans="1:1">
      <c r="A209" s="4"/>
    </row>
    <row r="210" spans="1:1">
      <c r="A210" s="4"/>
    </row>
    <row r="211" spans="1:1">
      <c r="A211" s="4"/>
    </row>
    <row r="212" spans="1:1">
      <c r="A212" s="4"/>
    </row>
    <row r="213" spans="1:1">
      <c r="A213" s="4"/>
    </row>
    <row r="214" spans="1:1">
      <c r="A214" s="4"/>
    </row>
    <row r="215" spans="1:1">
      <c r="A215" s="4"/>
    </row>
    <row r="216" spans="1:1">
      <c r="A216" s="4"/>
    </row>
    <row r="217" spans="1:1">
      <c r="A217" s="4"/>
    </row>
    <row r="218" spans="1:1">
      <c r="A218" s="4"/>
    </row>
    <row r="219" spans="1:1">
      <c r="A219" s="4"/>
    </row>
    <row r="220" spans="1:1">
      <c r="A220" s="4"/>
    </row>
    <row r="221" spans="1:1">
      <c r="A221" s="4"/>
    </row>
    <row r="222" spans="1:1">
      <c r="A222" s="4"/>
    </row>
    <row r="223" spans="1:1">
      <c r="A223" s="4"/>
    </row>
    <row r="224" spans="1:1">
      <c r="A224" s="4"/>
    </row>
    <row r="225" spans="1:1">
      <c r="A225" s="4"/>
    </row>
    <row r="226" spans="1:1">
      <c r="A226" s="4"/>
    </row>
    <row r="227" spans="1:1">
      <c r="A227" s="4"/>
    </row>
    <row r="228" spans="1:1">
      <c r="A228" s="4"/>
    </row>
    <row r="229" spans="1:1">
      <c r="A229" s="4"/>
    </row>
    <row r="230" spans="1:1">
      <c r="A230" s="4"/>
    </row>
    <row r="231" spans="1:1">
      <c r="A231" s="4"/>
    </row>
    <row r="232" spans="1:1">
      <c r="A232" s="4"/>
    </row>
    <row r="233" spans="1:1">
      <c r="A233" s="4"/>
    </row>
    <row r="234" spans="1:1">
      <c r="A234" s="4"/>
    </row>
    <row r="235" spans="1:1">
      <c r="A235" s="4"/>
    </row>
    <row r="236" spans="1:1">
      <c r="A236" s="4"/>
    </row>
    <row r="237" spans="1:1">
      <c r="A237" s="4"/>
    </row>
    <row r="238" spans="1:1">
      <c r="A238" s="4"/>
    </row>
    <row r="239" spans="1:1">
      <c r="A239" s="4"/>
    </row>
    <row r="240" spans="1:1">
      <c r="A240" s="4"/>
    </row>
    <row r="241" spans="1:1">
      <c r="A241" s="4"/>
    </row>
    <row r="242" spans="1:1">
      <c r="A242" s="4"/>
    </row>
    <row r="243" spans="1:1">
      <c r="A243" s="4"/>
    </row>
    <row r="244" spans="1:1">
      <c r="A244" s="4"/>
    </row>
    <row r="245" spans="1:1">
      <c r="A245" s="4"/>
    </row>
    <row r="246" spans="1:1">
      <c r="A246" s="4"/>
    </row>
    <row r="247" spans="1:1">
      <c r="A247" s="4"/>
    </row>
    <row r="248" spans="1:1">
      <c r="A248" s="4"/>
    </row>
    <row r="249" spans="1:1">
      <c r="A249" s="4"/>
    </row>
    <row r="250" spans="1:1">
      <c r="A250" s="4"/>
    </row>
    <row r="251" spans="1:1">
      <c r="A251" s="4"/>
    </row>
    <row r="252" spans="1:1">
      <c r="A252" s="4"/>
    </row>
    <row r="253" spans="1:1">
      <c r="A253" s="4"/>
    </row>
    <row r="254" spans="1:1">
      <c r="A254" s="4"/>
    </row>
    <row r="255" spans="1:1">
      <c r="A255" s="4"/>
    </row>
    <row r="256" spans="1:1">
      <c r="A256" s="4"/>
    </row>
    <row r="257" spans="1:1">
      <c r="A257" s="4"/>
    </row>
    <row r="258" spans="1:1">
      <c r="A258" s="4"/>
    </row>
    <row r="259" spans="1:1">
      <c r="A259" s="4"/>
    </row>
    <row r="260" spans="1:1">
      <c r="A260" s="4"/>
    </row>
    <row r="261" spans="1:1">
      <c r="A261" s="4"/>
    </row>
    <row r="262" spans="1:1">
      <c r="A262" s="4"/>
    </row>
    <row r="263" spans="1:1">
      <c r="A263" s="4"/>
    </row>
    <row r="264" spans="1:1">
      <c r="A264" s="4"/>
    </row>
    <row r="265" spans="1:1">
      <c r="A265" s="4"/>
    </row>
    <row r="266" spans="1:1">
      <c r="A266" s="4"/>
    </row>
    <row r="267" spans="1:1">
      <c r="A267" s="4"/>
    </row>
    <row r="268" spans="1:1">
      <c r="A268" s="4"/>
    </row>
    <row r="269" spans="1:1">
      <c r="A269" s="4"/>
    </row>
    <row r="270" spans="1:1">
      <c r="A270" s="4"/>
    </row>
    <row r="271" spans="1:1">
      <c r="A271" s="4"/>
    </row>
    <row r="272" spans="1:1">
      <c r="A272" s="4"/>
    </row>
    <row r="273" spans="1:1">
      <c r="A273" s="4"/>
    </row>
    <row r="274" spans="1:1">
      <c r="A274" s="4"/>
    </row>
    <row r="275" spans="1:1">
      <c r="A275" s="4"/>
    </row>
    <row r="276" spans="1:1">
      <c r="A276" s="4"/>
    </row>
    <row r="277" spans="1:1">
      <c r="A277" s="4"/>
    </row>
    <row r="278" spans="1:1">
      <c r="A278" s="4"/>
    </row>
    <row r="279" spans="1:1">
      <c r="A279" s="4"/>
    </row>
    <row r="280" spans="1:1">
      <c r="A280" s="4"/>
    </row>
    <row r="281" spans="1:1">
      <c r="A281" s="4"/>
    </row>
    <row r="282" spans="1:1">
      <c r="A282" s="4"/>
    </row>
    <row r="283" spans="1:1">
      <c r="A283" s="4"/>
    </row>
    <row r="284" spans="1:1">
      <c r="A284" s="4"/>
    </row>
    <row r="285" spans="1:1">
      <c r="A285" s="4"/>
    </row>
    <row r="286" spans="1:1">
      <c r="A286" s="4"/>
    </row>
    <row r="287" spans="1:1">
      <c r="A287" s="4"/>
    </row>
    <row r="288" spans="1:1">
      <c r="A288" s="4"/>
    </row>
    <row r="289" spans="1:1">
      <c r="A289" s="4"/>
    </row>
    <row r="290" spans="1:1">
      <c r="A290" s="4"/>
    </row>
    <row r="291" spans="1:1">
      <c r="A291" s="4"/>
    </row>
    <row r="292" spans="1:1">
      <c r="A292" s="4"/>
    </row>
    <row r="293" spans="1:1">
      <c r="A293" s="4"/>
    </row>
    <row r="294" spans="1:1">
      <c r="A294" s="4"/>
    </row>
    <row r="295" spans="1:1">
      <c r="A295" s="4"/>
    </row>
    <row r="296" spans="1:1">
      <c r="A296" s="4"/>
    </row>
    <row r="297" spans="1:1">
      <c r="A297" s="4"/>
    </row>
    <row r="298" spans="1:1">
      <c r="A298" s="4"/>
    </row>
    <row r="299" spans="1:1">
      <c r="A299" s="4"/>
    </row>
    <row r="300" spans="1:1">
      <c r="A300" s="4"/>
    </row>
    <row r="301" spans="1:1">
      <c r="A301" s="4"/>
    </row>
    <row r="302" spans="1:1">
      <c r="A302" s="4"/>
    </row>
    <row r="303" spans="1:1">
      <c r="A303" s="4"/>
    </row>
    <row r="304" spans="1:1">
      <c r="A304" s="4"/>
    </row>
    <row r="305" spans="1:1">
      <c r="A305" s="4"/>
    </row>
    <row r="306" spans="1:1">
      <c r="A306" s="4"/>
    </row>
    <row r="307" spans="1:1">
      <c r="A307" s="4"/>
    </row>
    <row r="308" spans="1:1">
      <c r="A308" s="4"/>
    </row>
    <row r="309" spans="1:1">
      <c r="A309" s="4"/>
    </row>
    <row r="310" spans="1:1">
      <c r="A310" s="4"/>
    </row>
    <row r="311" spans="1:1">
      <c r="A311" s="4"/>
    </row>
    <row r="312" spans="1:1">
      <c r="A312" s="4"/>
    </row>
    <row r="313" spans="1:1">
      <c r="A313" s="4"/>
    </row>
    <row r="314" spans="1:1">
      <c r="A314" s="4"/>
    </row>
    <row r="315" spans="1:1">
      <c r="A315" s="4"/>
    </row>
    <row r="316" spans="1:1">
      <c r="A316" s="4"/>
    </row>
    <row r="317" spans="1:1">
      <c r="A317" s="4"/>
    </row>
    <row r="318" spans="1:1">
      <c r="A318" s="4"/>
    </row>
    <row r="319" spans="1:1">
      <c r="A319" s="4"/>
    </row>
    <row r="320" spans="1:1">
      <c r="A320" s="4"/>
    </row>
    <row r="321" spans="1:1">
      <c r="A321" s="4"/>
    </row>
    <row r="322" spans="1:1">
      <c r="A322" s="4"/>
    </row>
    <row r="323" spans="1:1">
      <c r="A323" s="4"/>
    </row>
    <row r="324" spans="1:1">
      <c r="A324" s="4"/>
    </row>
    <row r="325" spans="1:1">
      <c r="A325" s="4"/>
    </row>
    <row r="326" spans="1:1">
      <c r="A326" s="4"/>
    </row>
    <row r="327" spans="1:1">
      <c r="A327" s="4"/>
    </row>
    <row r="328" spans="1:1">
      <c r="A328" s="4"/>
    </row>
    <row r="329" spans="1:1">
      <c r="A329" s="4"/>
    </row>
    <row r="330" spans="1:1">
      <c r="A330" s="4"/>
    </row>
    <row r="331" spans="1:1">
      <c r="A331" s="4"/>
    </row>
    <row r="332" spans="1:1">
      <c r="A332" s="4"/>
    </row>
    <row r="333" spans="1:1">
      <c r="A333" s="4"/>
    </row>
    <row r="334" spans="1:1">
      <c r="A334" s="4"/>
    </row>
    <row r="335" spans="1:1">
      <c r="A335" s="4"/>
    </row>
    <row r="336" spans="1:1">
      <c r="A336" s="4"/>
    </row>
    <row r="337" spans="1:1">
      <c r="A337" s="4"/>
    </row>
    <row r="338" spans="1:1">
      <c r="A338" s="4"/>
    </row>
    <row r="339" spans="1:1">
      <c r="A339" s="4"/>
    </row>
    <row r="340" spans="1:1">
      <c r="A340" s="4"/>
    </row>
    <row r="341" spans="1:1">
      <c r="A341" s="4"/>
    </row>
    <row r="342" spans="1:1">
      <c r="A342" s="4"/>
    </row>
    <row r="343" spans="1:1">
      <c r="A343" s="4"/>
    </row>
    <row r="344" spans="1:1">
      <c r="A344" s="4"/>
    </row>
    <row r="345" spans="1:1">
      <c r="A345" s="4"/>
    </row>
    <row r="346" spans="1:1">
      <c r="A346" s="4"/>
    </row>
    <row r="347" spans="1:1">
      <c r="A347" s="4"/>
    </row>
    <row r="348" spans="1:1">
      <c r="A348" s="4"/>
    </row>
    <row r="349" spans="1:1">
      <c r="A349" s="4"/>
    </row>
    <row r="350" spans="1:1">
      <c r="A350" s="4"/>
    </row>
    <row r="351" spans="1:1">
      <c r="A351" s="4"/>
    </row>
    <row r="352" spans="1:1">
      <c r="A352" s="4"/>
    </row>
    <row r="353" spans="1:1">
      <c r="A353" s="4"/>
    </row>
    <row r="354" spans="1:1">
      <c r="A354" s="4"/>
    </row>
    <row r="355" spans="1:1">
      <c r="A355" s="4"/>
    </row>
    <row r="356" spans="1:1">
      <c r="A356" s="4"/>
    </row>
    <row r="357" spans="1:1">
      <c r="A357" s="4"/>
    </row>
    <row r="358" spans="1:1">
      <c r="A358" s="4"/>
    </row>
    <row r="359" spans="1:1">
      <c r="A359" s="4"/>
    </row>
    <row r="360" spans="1:1">
      <c r="A360" s="4"/>
    </row>
    <row r="361" spans="1:1">
      <c r="A361" s="4"/>
    </row>
    <row r="362" spans="1:1">
      <c r="A362" s="4"/>
    </row>
    <row r="363" spans="1:1">
      <c r="A363" s="4"/>
    </row>
    <row r="364" spans="1:1">
      <c r="A364" s="4"/>
    </row>
    <row r="365" spans="1:1">
      <c r="A365" s="4"/>
    </row>
    <row r="366" spans="1:1">
      <c r="A366" s="4"/>
    </row>
    <row r="367" spans="1:1">
      <c r="A367" s="4"/>
    </row>
    <row r="368" spans="1:1">
      <c r="A368" s="4"/>
    </row>
    <row r="369" spans="1:1">
      <c r="A369" s="4"/>
    </row>
    <row r="370" spans="1:1">
      <c r="A370" s="4"/>
    </row>
    <row r="371" spans="1:1">
      <c r="A371" s="4"/>
    </row>
    <row r="372" spans="1:1">
      <c r="A372" s="4"/>
    </row>
    <row r="373" spans="1:1">
      <c r="A373" s="4"/>
    </row>
    <row r="374" spans="1:1">
      <c r="A374" s="4"/>
    </row>
    <row r="375" spans="1:1">
      <c r="A375" s="4"/>
    </row>
    <row r="376" spans="1:1">
      <c r="A376" s="4"/>
    </row>
    <row r="377" spans="1:1">
      <c r="A377" s="4"/>
    </row>
    <row r="378" spans="1:1">
      <c r="A378" s="4"/>
    </row>
    <row r="379" spans="1:1">
      <c r="A379" s="4"/>
    </row>
    <row r="380" spans="1:1">
      <c r="A380" s="4"/>
    </row>
    <row r="381" spans="1:1">
      <c r="A381" s="4"/>
    </row>
    <row r="382" spans="1:1">
      <c r="A382" s="4"/>
    </row>
    <row r="383" spans="1:1">
      <c r="A383" s="4"/>
    </row>
    <row r="384" spans="1:1">
      <c r="A384" s="4"/>
    </row>
    <row r="385" spans="1:1">
      <c r="A385" s="4"/>
    </row>
    <row r="386" spans="1:1">
      <c r="A386" s="4"/>
    </row>
    <row r="387" spans="1:1">
      <c r="A387" s="4"/>
    </row>
    <row r="388" spans="1:1">
      <c r="A388" s="4"/>
    </row>
    <row r="389" spans="1:1">
      <c r="A389" s="4"/>
    </row>
    <row r="390" spans="1:1">
      <c r="A390" s="4"/>
    </row>
    <row r="391" spans="1:1">
      <c r="A391" s="4"/>
    </row>
    <row r="392" spans="1:1">
      <c r="A392" s="4"/>
    </row>
    <row r="393" spans="1:1">
      <c r="A393" s="4"/>
    </row>
    <row r="394" spans="1:1">
      <c r="A394" s="4"/>
    </row>
    <row r="395" spans="1:1">
      <c r="A395" s="4"/>
    </row>
    <row r="396" spans="1:1">
      <c r="A396" s="4"/>
    </row>
    <row r="397" spans="1:1">
      <c r="A397" s="4"/>
    </row>
    <row r="398" spans="1:1">
      <c r="A398" s="4"/>
    </row>
    <row r="399" spans="1:1">
      <c r="A399" s="4"/>
    </row>
    <row r="400" spans="1:1">
      <c r="A400" s="4"/>
    </row>
    <row r="401" spans="1:1">
      <c r="A401" s="4"/>
    </row>
    <row r="402" spans="1:1">
      <c r="A402" s="4"/>
    </row>
    <row r="403" spans="1:1">
      <c r="A403" s="4"/>
    </row>
    <row r="404" spans="1:1">
      <c r="A404" s="4"/>
    </row>
    <row r="405" spans="1:1">
      <c r="A405" s="4"/>
    </row>
    <row r="406" spans="1:1">
      <c r="A406" s="4"/>
    </row>
    <row r="407" spans="1:1">
      <c r="A407" s="4"/>
    </row>
    <row r="408" spans="1:1">
      <c r="A408" s="4"/>
    </row>
    <row r="409" spans="1:1">
      <c r="A409" s="4"/>
    </row>
    <row r="410" spans="1:1">
      <c r="A410" s="4"/>
    </row>
    <row r="411" spans="1:1">
      <c r="A411" s="4"/>
    </row>
    <row r="412" spans="1:1">
      <c r="A412" s="4"/>
    </row>
    <row r="413" spans="1:1">
      <c r="A413" s="4"/>
    </row>
    <row r="414" spans="1:1">
      <c r="A414" s="4"/>
    </row>
    <row r="415" spans="1:1">
      <c r="A415" s="4"/>
    </row>
    <row r="416" spans="1:1">
      <c r="A416" s="4"/>
    </row>
    <row r="417" spans="1:1">
      <c r="A417" s="4"/>
    </row>
    <row r="418" spans="1:1">
      <c r="A418" s="4"/>
    </row>
    <row r="419" spans="1:1">
      <c r="A419" s="4"/>
    </row>
    <row r="420" spans="1:1">
      <c r="A420" s="4"/>
    </row>
    <row r="421" spans="1:1">
      <c r="A421" s="4"/>
    </row>
    <row r="422" spans="1:1">
      <c r="A422" s="4"/>
    </row>
    <row r="423" spans="1:1">
      <c r="A423" s="4"/>
    </row>
    <row r="424" spans="1:1">
      <c r="A424" s="4"/>
    </row>
    <row r="425" spans="1:1">
      <c r="A425" s="4"/>
    </row>
    <row r="426" spans="1:1">
      <c r="A426" s="4"/>
    </row>
    <row r="427" spans="1:1">
      <c r="A427" s="4"/>
    </row>
    <row r="428" spans="1:1">
      <c r="A428" s="4"/>
    </row>
    <row r="429" spans="1:1">
      <c r="A429" s="4"/>
    </row>
    <row r="430" spans="1:1">
      <c r="A430" s="4"/>
    </row>
    <row r="431" spans="1:1">
      <c r="A431" s="4"/>
    </row>
    <row r="432" spans="1:1">
      <c r="A432" s="4"/>
    </row>
    <row r="433" spans="1:1">
      <c r="A433" s="4"/>
    </row>
    <row r="434" spans="1:1">
      <c r="A434" s="4"/>
    </row>
    <row r="435" spans="1:1">
      <c r="A435" s="4"/>
    </row>
    <row r="436" spans="1:1">
      <c r="A436" s="4"/>
    </row>
    <row r="437" spans="1:1">
      <c r="A437" s="4"/>
    </row>
    <row r="438" spans="1:1">
      <c r="A438" s="4"/>
    </row>
    <row r="439" spans="1:1">
      <c r="A439" s="4"/>
    </row>
    <row r="440" spans="1:1">
      <c r="A440" s="4"/>
    </row>
    <row r="441" spans="1:1">
      <c r="A441" s="4"/>
    </row>
    <row r="442" spans="1:1">
      <c r="A442" s="4"/>
    </row>
    <row r="443" spans="1:1">
      <c r="A443" s="4"/>
    </row>
    <row r="444" spans="1:1">
      <c r="A444" s="4"/>
    </row>
    <row r="445" spans="1:1">
      <c r="A445" s="4"/>
    </row>
    <row r="446" spans="1:1">
      <c r="A446" s="4"/>
    </row>
    <row r="447" spans="1:1">
      <c r="A447" s="4"/>
    </row>
    <row r="448" spans="1:1">
      <c r="A448" s="4"/>
    </row>
    <row r="449" spans="1:1">
      <c r="A449" s="4"/>
    </row>
    <row r="450" spans="1:1">
      <c r="A450" s="4"/>
    </row>
    <row r="451" spans="1:1">
      <c r="A451" s="4"/>
    </row>
    <row r="452" spans="1:1">
      <c r="A452" s="4"/>
    </row>
    <row r="453" spans="1:1">
      <c r="A453" s="4"/>
    </row>
    <row r="454" spans="1:1">
      <c r="A454" s="4"/>
    </row>
    <row r="455" spans="1:1">
      <c r="A455" s="4"/>
    </row>
    <row r="456" spans="1:1">
      <c r="A456" s="4"/>
    </row>
    <row r="457" spans="1:1">
      <c r="A457" s="4"/>
    </row>
    <row r="458" spans="1:1">
      <c r="A458" s="4"/>
    </row>
    <row r="459" spans="1:1">
      <c r="A459" s="4"/>
    </row>
    <row r="460" spans="1:1">
      <c r="A460" s="4"/>
    </row>
    <row r="461" spans="1:1">
      <c r="A461" s="4"/>
    </row>
    <row r="462" spans="1:1">
      <c r="A462" s="4"/>
    </row>
    <row r="463" spans="1:1">
      <c r="A463" s="4"/>
    </row>
    <row r="464" spans="1:1">
      <c r="A464" s="4"/>
    </row>
    <row r="465" spans="1:1">
      <c r="A465" s="4"/>
    </row>
    <row r="466" spans="1:1">
      <c r="A466" s="4"/>
    </row>
    <row r="467" spans="1:1">
      <c r="A467" s="4"/>
    </row>
    <row r="468" spans="1:1">
      <c r="A468" s="4"/>
    </row>
    <row r="469" spans="1:1">
      <c r="A469" s="4"/>
    </row>
    <row r="470" spans="1:1">
      <c r="A470" s="4"/>
    </row>
    <row r="471" spans="1:1">
      <c r="A471" s="4"/>
    </row>
    <row r="472" spans="1:1">
      <c r="A472" s="4"/>
    </row>
    <row r="473" spans="1:1">
      <c r="A473" s="4"/>
    </row>
    <row r="474" spans="1:1">
      <c r="A474" s="4"/>
    </row>
    <row r="475" spans="1:1">
      <c r="A475" s="4"/>
    </row>
    <row r="476" spans="1:1">
      <c r="A476" s="4"/>
    </row>
    <row r="477" spans="1:1">
      <c r="A477" s="4"/>
    </row>
    <row r="478" spans="1:1">
      <c r="A478" s="4"/>
    </row>
    <row r="479" spans="1:1">
      <c r="A479" s="4"/>
    </row>
    <row r="480" spans="1:1">
      <c r="A480" s="4"/>
    </row>
    <row r="481" spans="1:1">
      <c r="A481" s="4"/>
    </row>
    <row r="482" spans="1:1">
      <c r="A482" s="4"/>
    </row>
    <row r="483" spans="1:1">
      <c r="A483" s="4"/>
    </row>
    <row r="484" spans="1:1">
      <c r="A484" s="4"/>
    </row>
    <row r="485" spans="1:1">
      <c r="A485" s="4"/>
    </row>
    <row r="486" spans="1:1">
      <c r="A486" s="4"/>
    </row>
    <row r="487" spans="1:1">
      <c r="A487" s="4"/>
    </row>
    <row r="488" spans="1:1">
      <c r="A488" s="4"/>
    </row>
    <row r="489" spans="1:1">
      <c r="A489" s="4"/>
    </row>
    <row r="490" spans="1:1">
      <c r="A490" s="4"/>
    </row>
    <row r="491" spans="1:1">
      <c r="A491" s="4"/>
    </row>
    <row r="492" spans="1:1">
      <c r="A492" s="4"/>
    </row>
    <row r="493" spans="1:1">
      <c r="A493" s="4"/>
    </row>
    <row r="494" spans="1:1">
      <c r="A494" s="4"/>
    </row>
    <row r="495" spans="1:1">
      <c r="A495" s="4"/>
    </row>
    <row r="496" spans="1:1">
      <c r="A496" s="4"/>
    </row>
    <row r="497" spans="1:1">
      <c r="A497" s="4"/>
    </row>
    <row r="498" spans="1:1">
      <c r="A498" s="4"/>
    </row>
    <row r="499" spans="1:1">
      <c r="A499" s="4"/>
    </row>
    <row r="500" spans="1:1">
      <c r="A500" s="4"/>
    </row>
    <row r="501" spans="1:1">
      <c r="A501" s="4"/>
    </row>
    <row r="502" spans="1:1">
      <c r="A502" s="4"/>
    </row>
    <row r="503" spans="1:1">
      <c r="A503" s="4"/>
    </row>
    <row r="504" spans="1:1">
      <c r="A504" s="4"/>
    </row>
    <row r="505" spans="1:1">
      <c r="A505" s="4"/>
    </row>
    <row r="506" spans="1:1">
      <c r="A506" s="4"/>
    </row>
    <row r="507" spans="1:1">
      <c r="A507" s="4"/>
    </row>
    <row r="508" spans="1:1">
      <c r="A508" s="4"/>
    </row>
    <row r="509" spans="1:1">
      <c r="A509" s="4"/>
    </row>
    <row r="510" spans="1:1">
      <c r="A510" s="4"/>
    </row>
    <row r="511" spans="1:1">
      <c r="A511" s="4"/>
    </row>
    <row r="512" spans="1:1">
      <c r="A512" s="4"/>
    </row>
    <row r="513" spans="1:1">
      <c r="A513" s="4"/>
    </row>
    <row r="514" spans="1:1">
      <c r="A514" s="4"/>
    </row>
    <row r="515" spans="1:1">
      <c r="A515" s="4"/>
    </row>
    <row r="516" spans="1:1">
      <c r="A516" s="4"/>
    </row>
    <row r="517" spans="1:1">
      <c r="A517" s="4"/>
    </row>
    <row r="518" spans="1:1">
      <c r="A518" s="4"/>
    </row>
    <row r="519" spans="1:1">
      <c r="A519" s="4"/>
    </row>
    <row r="520" spans="1:1">
      <c r="A520" s="4"/>
    </row>
    <row r="521" spans="1:1">
      <c r="A521" s="4"/>
    </row>
    <row r="522" spans="1:1">
      <c r="A522" s="4"/>
    </row>
    <row r="523" spans="1:1">
      <c r="A523" s="4"/>
    </row>
    <row r="524" spans="1:1">
      <c r="A524" s="4"/>
    </row>
    <row r="525" spans="1:1">
      <c r="A525" s="4"/>
    </row>
    <row r="526" spans="1:1">
      <c r="A526" s="4"/>
    </row>
    <row r="527" spans="1:1">
      <c r="A527" s="4"/>
    </row>
    <row r="528" spans="1:1">
      <c r="A528" s="4"/>
    </row>
    <row r="529" spans="1:1">
      <c r="A529" s="4"/>
    </row>
    <row r="530" spans="1:1">
      <c r="A530" s="4"/>
    </row>
    <row r="531" spans="1:1">
      <c r="A531" s="4"/>
    </row>
    <row r="532" spans="1:1">
      <c r="A532" s="4"/>
    </row>
    <row r="533" spans="1:1">
      <c r="A533" s="4"/>
    </row>
    <row r="534" spans="1:1">
      <c r="A534" s="4"/>
    </row>
    <row r="535" spans="1:1">
      <c r="A535" s="4"/>
    </row>
    <row r="536" spans="1:1">
      <c r="A536" s="4"/>
    </row>
    <row r="537" spans="1:1">
      <c r="A537" s="4"/>
    </row>
    <row r="538" spans="1:1">
      <c r="A538" s="4"/>
    </row>
    <row r="539" spans="1:1">
      <c r="A539" s="4"/>
    </row>
    <row r="540" spans="1:1">
      <c r="A540" s="4"/>
    </row>
    <row r="541" spans="1:1">
      <c r="A541" s="4"/>
    </row>
    <row r="542" spans="1:1">
      <c r="A542" s="4"/>
    </row>
    <row r="543" spans="1:1">
      <c r="A543" s="4"/>
    </row>
    <row r="544" spans="1:1">
      <c r="A544" s="4"/>
    </row>
    <row r="545" spans="1:1">
      <c r="A545" s="4"/>
    </row>
    <row r="546" spans="1:1">
      <c r="A546" s="4"/>
    </row>
    <row r="547" spans="1:1">
      <c r="A547" s="4"/>
    </row>
    <row r="548" spans="1:1">
      <c r="A548" s="4"/>
    </row>
    <row r="549" spans="1:1">
      <c r="A549" s="4"/>
    </row>
    <row r="550" spans="1:1">
      <c r="A550" s="4"/>
    </row>
    <row r="551" spans="1:1">
      <c r="A551" s="4"/>
    </row>
    <row r="552" spans="1:1">
      <c r="A552" s="4"/>
    </row>
    <row r="553" spans="1:1">
      <c r="A553" s="4"/>
    </row>
    <row r="554" spans="1:1">
      <c r="A554" s="4"/>
    </row>
    <row r="555" spans="1:1">
      <c r="A555" s="4"/>
    </row>
    <row r="556" spans="1:1">
      <c r="A556" s="4"/>
    </row>
    <row r="557" spans="1:1">
      <c r="A557" s="4"/>
    </row>
    <row r="558" spans="1:1">
      <c r="A558" s="4"/>
    </row>
    <row r="559" spans="1:1">
      <c r="A559" s="4"/>
    </row>
    <row r="560" spans="1:1">
      <c r="A560" s="4"/>
    </row>
    <row r="561" spans="1:1">
      <c r="A561" s="4"/>
    </row>
    <row r="562" spans="1:1">
      <c r="A562" s="4"/>
    </row>
    <row r="563" spans="1:1">
      <c r="A563" s="4"/>
    </row>
    <row r="564" spans="1:1">
      <c r="A564" s="4"/>
    </row>
    <row r="565" spans="1:1">
      <c r="A565" s="4"/>
    </row>
    <row r="566" spans="1:1">
      <c r="A566" s="4"/>
    </row>
    <row r="567" spans="1:1">
      <c r="A567" s="4"/>
    </row>
    <row r="568" spans="1:1">
      <c r="A568" s="4"/>
    </row>
    <row r="569" spans="1:1">
      <c r="A569" s="4"/>
    </row>
    <row r="570" spans="1:1">
      <c r="A570" s="4"/>
    </row>
    <row r="571" spans="1:1">
      <c r="A571" s="4"/>
    </row>
    <row r="572" spans="1:1">
      <c r="A572" s="4"/>
    </row>
    <row r="573" spans="1:1">
      <c r="A573" s="4"/>
    </row>
    <row r="574" spans="1:1">
      <c r="A574" s="4"/>
    </row>
    <row r="575" spans="1:1">
      <c r="A575" s="4"/>
    </row>
    <row r="576" spans="1:1">
      <c r="A576" s="4"/>
    </row>
    <row r="577" spans="1:1">
      <c r="A577" s="4"/>
    </row>
    <row r="578" spans="1:1">
      <c r="A578" s="4"/>
    </row>
    <row r="579" spans="1:1">
      <c r="A579" s="4"/>
    </row>
    <row r="580" spans="1:1">
      <c r="A580" s="4"/>
    </row>
    <row r="581" spans="1:1">
      <c r="A581" s="4"/>
    </row>
    <row r="582" spans="1:1">
      <c r="A582" s="4"/>
    </row>
    <row r="583" spans="1:1">
      <c r="A583" s="4"/>
    </row>
    <row r="584" spans="1:1">
      <c r="A584" s="4"/>
    </row>
    <row r="585" spans="1:1">
      <c r="A585" s="4"/>
    </row>
    <row r="586" spans="1:1">
      <c r="A586" s="4"/>
    </row>
    <row r="587" spans="1:1">
      <c r="A587" s="4"/>
    </row>
    <row r="588" spans="1:1">
      <c r="A588" s="4"/>
    </row>
    <row r="589" spans="1:1">
      <c r="A589" s="4"/>
    </row>
    <row r="590" spans="1:1">
      <c r="A590" s="4"/>
    </row>
    <row r="591" spans="1:1">
      <c r="A591" s="4"/>
    </row>
    <row r="592" spans="1:1">
      <c r="A592" s="4"/>
    </row>
    <row r="593" spans="1:1">
      <c r="A593" s="4"/>
    </row>
    <row r="594" spans="1:1">
      <c r="A594" s="4"/>
    </row>
    <row r="595" spans="1:1">
      <c r="A595" s="4"/>
    </row>
    <row r="596" spans="1:1">
      <c r="A596" s="4"/>
    </row>
    <row r="597" spans="1:1">
      <c r="A597" s="4"/>
    </row>
    <row r="598" spans="1:1">
      <c r="A598" s="4"/>
    </row>
    <row r="599" spans="1:1">
      <c r="A599" s="4"/>
    </row>
    <row r="600" spans="1:1">
      <c r="A600" s="4"/>
    </row>
    <row r="601" spans="1:1">
      <c r="A601" s="4"/>
    </row>
    <row r="602" spans="1:1">
      <c r="A602" s="4"/>
    </row>
    <row r="603" spans="1:1">
      <c r="A603" s="4"/>
    </row>
    <row r="604" spans="1:1">
      <c r="A604" s="4"/>
    </row>
  </sheetData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0c7577-6c1b-478c-923a-a650d6d013be" xsi:nil="true"/>
    <lcf76f155ced4ddcb4097134ff3c332f xmlns="0feec21d-23b4-4c00-874b-59d5ed79847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C27785EF916B49928F172402C7A269" ma:contentTypeVersion="10" ma:contentTypeDescription="Create a new document." ma:contentTypeScope="" ma:versionID="dae68e0528d349d4a1e6d8318d6480c7">
  <xsd:schema xmlns:xsd="http://www.w3.org/2001/XMLSchema" xmlns:xs="http://www.w3.org/2001/XMLSchema" xmlns:p="http://schemas.microsoft.com/office/2006/metadata/properties" xmlns:ns2="0feec21d-23b4-4c00-874b-59d5ed798470" xmlns:ns3="4b0c7577-6c1b-478c-923a-a650d6d013be" targetNamespace="http://schemas.microsoft.com/office/2006/metadata/properties" ma:root="true" ma:fieldsID="3302d01da1b417a876ca2f9d363fa1aa" ns2:_="" ns3:_="">
    <xsd:import namespace="0feec21d-23b4-4c00-874b-59d5ed798470"/>
    <xsd:import namespace="4b0c7577-6c1b-478c-923a-a650d6d0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21d-23b4-4c00-874b-59d5ed798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c7577-6c1b-478c-923a-a650d6d013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fbe42e-f273-43a9-a7a9-070c840fd784}" ma:internalName="TaxCatchAll" ma:showField="CatchAllData" ma:web="4b0c7577-6c1b-478c-923a-a650d6d0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7A88167-F15A-42BC-91E7-CFE44AB6CB49}"/>
</file>

<file path=customXml/itemProps2.xml><?xml version="1.0" encoding="utf-8"?>
<ds:datastoreItem xmlns:ds="http://schemas.openxmlformats.org/officeDocument/2006/customXml" ds:itemID="{931937AD-C616-4048-ABBF-32D0B13EA05F}"/>
</file>

<file path=customXml/itemProps3.xml><?xml version="1.0" encoding="utf-8"?>
<ds:datastoreItem xmlns:ds="http://schemas.openxmlformats.org/officeDocument/2006/customXml" ds:itemID="{ACE37FDD-BAF6-464D-BC7E-855086849B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Karin Weixler</dc:creator>
  <cp:keywords/>
  <dc:description/>
  <cp:lastModifiedBy>Garcia, Marci R</cp:lastModifiedBy>
  <cp:revision/>
  <dcterms:created xsi:type="dcterms:W3CDTF">2017-12-12T14:35:01Z</dcterms:created>
  <dcterms:modified xsi:type="dcterms:W3CDTF">2026-01-07T19:39:41Z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0x01010099C27785EF916B49928F172402C7A269</vt:lpwstr>
  </property>
  <property fmtid="{D5CDD505-2E9C-101B-9397-08002B2CF9AE}" pid="3" name="MediaServiceImageTags">
    <vt:lpwstr/>
  </property>
</Properties>
</file>